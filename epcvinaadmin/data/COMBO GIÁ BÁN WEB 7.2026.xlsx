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/>
  <mc:AlternateContent xmlns:mc="http://schemas.openxmlformats.org/markup-compatibility/2006">
    <mc:Choice Requires="x15">
      <x15ac:absPath xmlns:x15ac="http://schemas.microsoft.com/office/spreadsheetml/2010/11/ac" url="D:\SOLAR\Đạt gửi\"/>
    </mc:Choice>
  </mc:AlternateContent>
  <xr:revisionPtr revIDLastSave="0" documentId="13_ncr:1_{0D3D08A7-80B4-4424-A5FE-8A37601CA5FE}" xr6:coauthVersionLast="45" xr6:coauthVersionMax="47" xr10:uidLastSave="{00000000-0000-0000-0000-000000000000}"/>
  <bookViews>
    <workbookView xWindow="-120" yWindow="-120" windowWidth="29040" windowHeight="15720" tabRatio="913" activeTab="10" xr2:uid="{00000000-000D-0000-FFFF-FFFF00000000}"/>
  </bookViews>
  <sheets>
    <sheet name="HY1P_5.2kW" sheetId="6" r:id="rId1"/>
    <sheet name="HY1P_6.5 kw" sheetId="26" r:id="rId2"/>
    <sheet name="HY1P_7.8kW" sheetId="28" r:id="rId3"/>
    <sheet name="HY1P_9.1kW" sheetId="43" r:id="rId4"/>
    <sheet name="HY1P_10.4kW" sheetId="44" r:id="rId5"/>
    <sheet name="HY1P_11.7kW" sheetId="45" r:id="rId6"/>
    <sheet name="HY1P_13kW" sheetId="32" r:id="rId7"/>
    <sheet name="HY1P_14.3kW" sheetId="46" r:id="rId8"/>
    <sheet name="HY1P_15.6kW" sheetId="47" r:id="rId9"/>
    <sheet name="HY3P_16.9kw" sheetId="48" r:id="rId10"/>
    <sheet name="HY3P_18.2KW" sheetId="49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25" i="26" l="1"/>
  <c r="M25" i="6"/>
  <c r="L2" i="6"/>
  <c r="L4" i="49"/>
  <c r="L5" i="49"/>
  <c r="L6" i="49"/>
  <c r="L7" i="49"/>
  <c r="L8" i="49"/>
  <c r="L9" i="49"/>
  <c r="L10" i="49"/>
  <c r="L11" i="49"/>
  <c r="L12" i="49"/>
  <c r="L13" i="49"/>
  <c r="L14" i="49"/>
  <c r="L15" i="49"/>
  <c r="L16" i="49"/>
  <c r="L17" i="49"/>
  <c r="L18" i="49"/>
  <c r="L19" i="49"/>
  <c r="L20" i="49"/>
  <c r="L21" i="49"/>
  <c r="L22" i="49"/>
  <c r="L23" i="49"/>
  <c r="L24" i="49"/>
  <c r="L2" i="49"/>
  <c r="K3" i="49"/>
  <c r="L3" i="49" s="1"/>
  <c r="L25" i="49" s="1"/>
  <c r="K4" i="49"/>
  <c r="K5" i="49"/>
  <c r="K6" i="49"/>
  <c r="K7" i="49"/>
  <c r="K8" i="49"/>
  <c r="K9" i="49"/>
  <c r="K10" i="49"/>
  <c r="K11" i="49"/>
  <c r="K12" i="49"/>
  <c r="K13" i="49"/>
  <c r="K14" i="49"/>
  <c r="K15" i="49"/>
  <c r="K16" i="49"/>
  <c r="K17" i="49"/>
  <c r="K18" i="49"/>
  <c r="K19" i="49"/>
  <c r="K20" i="49"/>
  <c r="K21" i="49"/>
  <c r="K22" i="49"/>
  <c r="K23" i="49"/>
  <c r="K24" i="49"/>
  <c r="K25" i="49"/>
  <c r="K2" i="49"/>
  <c r="L25" i="48"/>
  <c r="L18" i="48"/>
  <c r="K3" i="48"/>
  <c r="L3" i="48" s="1"/>
  <c r="K5" i="48"/>
  <c r="L5" i="48" s="1"/>
  <c r="K6" i="48"/>
  <c r="L6" i="48" s="1"/>
  <c r="K7" i="48"/>
  <c r="L7" i="48" s="1"/>
  <c r="K8" i="48"/>
  <c r="L8" i="48" s="1"/>
  <c r="K9" i="48"/>
  <c r="L9" i="48" s="1"/>
  <c r="K10" i="48"/>
  <c r="L10" i="48" s="1"/>
  <c r="K11" i="48"/>
  <c r="L11" i="48" s="1"/>
  <c r="K12" i="48"/>
  <c r="L12" i="48" s="1"/>
  <c r="K13" i="48"/>
  <c r="K14" i="48"/>
  <c r="L14" i="48" s="1"/>
  <c r="K15" i="48"/>
  <c r="L15" i="48" s="1"/>
  <c r="K16" i="48"/>
  <c r="L16" i="48" s="1"/>
  <c r="K17" i="48"/>
  <c r="L17" i="48" s="1"/>
  <c r="K18" i="48"/>
  <c r="K19" i="48"/>
  <c r="L19" i="48" s="1"/>
  <c r="K20" i="48"/>
  <c r="L20" i="48" s="1"/>
  <c r="K21" i="48"/>
  <c r="L21" i="48" s="1"/>
  <c r="K22" i="48"/>
  <c r="L22" i="48" s="1"/>
  <c r="K23" i="48"/>
  <c r="L23" i="48" s="1"/>
  <c r="K24" i="48"/>
  <c r="L24" i="48" s="1"/>
  <c r="K25" i="48"/>
  <c r="L25" i="47"/>
  <c r="K3" i="47"/>
  <c r="L3" i="47" s="1"/>
  <c r="K5" i="47"/>
  <c r="L5" i="47" s="1"/>
  <c r="K6" i="47"/>
  <c r="L6" i="47" s="1"/>
  <c r="K7" i="47"/>
  <c r="L7" i="47" s="1"/>
  <c r="K8" i="47"/>
  <c r="L8" i="47" s="1"/>
  <c r="K9" i="47"/>
  <c r="L9" i="47" s="1"/>
  <c r="K10" i="47"/>
  <c r="L10" i="47" s="1"/>
  <c r="K11" i="47"/>
  <c r="L11" i="47" s="1"/>
  <c r="K12" i="47"/>
  <c r="L12" i="47" s="1"/>
  <c r="K13" i="47"/>
  <c r="K14" i="47"/>
  <c r="L14" i="47" s="1"/>
  <c r="K15" i="47"/>
  <c r="L15" i="47" s="1"/>
  <c r="K16" i="47"/>
  <c r="L16" i="47" s="1"/>
  <c r="K17" i="47"/>
  <c r="L17" i="47" s="1"/>
  <c r="K18" i="47"/>
  <c r="L18" i="47" s="1"/>
  <c r="K19" i="47"/>
  <c r="L19" i="47" s="1"/>
  <c r="K20" i="47"/>
  <c r="L20" i="47" s="1"/>
  <c r="K21" i="47"/>
  <c r="L21" i="47" s="1"/>
  <c r="K22" i="47"/>
  <c r="L22" i="47" s="1"/>
  <c r="K23" i="47"/>
  <c r="L23" i="47" s="1"/>
  <c r="K24" i="47"/>
  <c r="L24" i="47" s="1"/>
  <c r="K25" i="47"/>
  <c r="K5" i="46"/>
  <c r="L5" i="46" s="1"/>
  <c r="K6" i="46"/>
  <c r="L6" i="46" s="1"/>
  <c r="K7" i="46"/>
  <c r="L7" i="46" s="1"/>
  <c r="K8" i="46"/>
  <c r="L8" i="46" s="1"/>
  <c r="K9" i="46"/>
  <c r="L9" i="46" s="1"/>
  <c r="K10" i="46"/>
  <c r="L10" i="46" s="1"/>
  <c r="K11" i="46"/>
  <c r="L11" i="46" s="1"/>
  <c r="K12" i="46"/>
  <c r="L12" i="46" s="1"/>
  <c r="K13" i="46"/>
  <c r="K14" i="46"/>
  <c r="L14" i="46" s="1"/>
  <c r="K15" i="46"/>
  <c r="L15" i="46" s="1"/>
  <c r="K16" i="46"/>
  <c r="L16" i="46" s="1"/>
  <c r="K17" i="46"/>
  <c r="L17" i="46" s="1"/>
  <c r="K18" i="46"/>
  <c r="L18" i="46" s="1"/>
  <c r="K19" i="46"/>
  <c r="L19" i="46" s="1"/>
  <c r="K20" i="46"/>
  <c r="L20" i="46" s="1"/>
  <c r="K21" i="46"/>
  <c r="L21" i="46" s="1"/>
  <c r="K22" i="46"/>
  <c r="L22" i="46" s="1"/>
  <c r="K23" i="46"/>
  <c r="L23" i="46" s="1"/>
  <c r="K24" i="46"/>
  <c r="L24" i="46" s="1"/>
  <c r="K25" i="46"/>
  <c r="L25" i="32"/>
  <c r="L7" i="32"/>
  <c r="L8" i="32"/>
  <c r="L10" i="32"/>
  <c r="L11" i="32"/>
  <c r="L12" i="32"/>
  <c r="L15" i="32"/>
  <c r="L16" i="32"/>
  <c r="L18" i="32"/>
  <c r="L19" i="32"/>
  <c r="L20" i="32"/>
  <c r="L23" i="32"/>
  <c r="L24" i="32"/>
  <c r="K5" i="32"/>
  <c r="L5" i="32" s="1"/>
  <c r="K6" i="32"/>
  <c r="L6" i="32" s="1"/>
  <c r="K7" i="32"/>
  <c r="K8" i="32"/>
  <c r="K9" i="32"/>
  <c r="L9" i="32" s="1"/>
  <c r="K10" i="32"/>
  <c r="K11" i="32"/>
  <c r="K12" i="32"/>
  <c r="K13" i="32"/>
  <c r="K14" i="32"/>
  <c r="L14" i="32" s="1"/>
  <c r="K15" i="32"/>
  <c r="K16" i="32"/>
  <c r="K17" i="32"/>
  <c r="L17" i="32" s="1"/>
  <c r="K18" i="32"/>
  <c r="K19" i="32"/>
  <c r="K20" i="32"/>
  <c r="K21" i="32"/>
  <c r="L21" i="32" s="1"/>
  <c r="K22" i="32"/>
  <c r="L22" i="32" s="1"/>
  <c r="K23" i="32"/>
  <c r="K24" i="32"/>
  <c r="K25" i="32"/>
  <c r="L25" i="45"/>
  <c r="K5" i="45"/>
  <c r="L5" i="45" s="1"/>
  <c r="K6" i="45"/>
  <c r="L6" i="45" s="1"/>
  <c r="K7" i="45"/>
  <c r="L7" i="45" s="1"/>
  <c r="K8" i="45"/>
  <c r="L8" i="45" s="1"/>
  <c r="K9" i="45"/>
  <c r="L9" i="45" s="1"/>
  <c r="K10" i="45"/>
  <c r="L10" i="45" s="1"/>
  <c r="K11" i="45"/>
  <c r="L11" i="45" s="1"/>
  <c r="K12" i="45"/>
  <c r="L12" i="45" s="1"/>
  <c r="K13" i="45"/>
  <c r="L13" i="45" s="1"/>
  <c r="K14" i="45"/>
  <c r="L14" i="45" s="1"/>
  <c r="K15" i="45"/>
  <c r="L15" i="45" s="1"/>
  <c r="K16" i="45"/>
  <c r="L16" i="45" s="1"/>
  <c r="K17" i="45"/>
  <c r="L17" i="45" s="1"/>
  <c r="K18" i="45"/>
  <c r="L18" i="45" s="1"/>
  <c r="K19" i="45"/>
  <c r="L19" i="45" s="1"/>
  <c r="K20" i="45"/>
  <c r="L20" i="45" s="1"/>
  <c r="K21" i="45"/>
  <c r="L21" i="45" s="1"/>
  <c r="K22" i="45"/>
  <c r="L22" i="45" s="1"/>
  <c r="K23" i="45"/>
  <c r="L23" i="45" s="1"/>
  <c r="K24" i="45"/>
  <c r="L24" i="45" s="1"/>
  <c r="K25" i="45"/>
  <c r="L3" i="44"/>
  <c r="L25" i="44" s="1"/>
  <c r="L4" i="44"/>
  <c r="L5" i="44"/>
  <c r="L6" i="44"/>
  <c r="L7" i="44"/>
  <c r="L8" i="44"/>
  <c r="L9" i="44"/>
  <c r="L10" i="44"/>
  <c r="L11" i="44"/>
  <c r="L12" i="44"/>
  <c r="L13" i="44"/>
  <c r="L14" i="44"/>
  <c r="L15" i="44"/>
  <c r="L16" i="44"/>
  <c r="L17" i="44"/>
  <c r="L18" i="44"/>
  <c r="L19" i="44"/>
  <c r="L20" i="44"/>
  <c r="L21" i="44"/>
  <c r="L22" i="44"/>
  <c r="L23" i="44"/>
  <c r="L24" i="44"/>
  <c r="L2" i="44"/>
  <c r="K3" i="44"/>
  <c r="K4" i="44"/>
  <c r="K5" i="44"/>
  <c r="K6" i="44"/>
  <c r="K7" i="44"/>
  <c r="K8" i="44"/>
  <c r="K9" i="44"/>
  <c r="K10" i="44"/>
  <c r="K11" i="44"/>
  <c r="K12" i="44"/>
  <c r="K13" i="44"/>
  <c r="K14" i="44"/>
  <c r="K15" i="44"/>
  <c r="K16" i="44"/>
  <c r="K17" i="44"/>
  <c r="K18" i="44"/>
  <c r="K19" i="44"/>
  <c r="K20" i="44"/>
  <c r="K21" i="44"/>
  <c r="K22" i="44"/>
  <c r="K23" i="44"/>
  <c r="K24" i="44"/>
  <c r="K25" i="44"/>
  <c r="K2" i="44"/>
  <c r="L4" i="43"/>
  <c r="L5" i="43"/>
  <c r="L6" i="43"/>
  <c r="L7" i="43"/>
  <c r="L8" i="43"/>
  <c r="L9" i="43"/>
  <c r="L10" i="43"/>
  <c r="L11" i="43"/>
  <c r="L12" i="43"/>
  <c r="L13" i="43"/>
  <c r="L14" i="43"/>
  <c r="L15" i="43"/>
  <c r="L16" i="43"/>
  <c r="L17" i="43"/>
  <c r="L18" i="43"/>
  <c r="L19" i="43"/>
  <c r="L20" i="43"/>
  <c r="L21" i="43"/>
  <c r="L22" i="43"/>
  <c r="L23" i="43"/>
  <c r="L24" i="43"/>
  <c r="L2" i="43"/>
  <c r="K3" i="43"/>
  <c r="L3" i="43" s="1"/>
  <c r="L25" i="43" s="1"/>
  <c r="K4" i="43"/>
  <c r="K5" i="43"/>
  <c r="K6" i="43"/>
  <c r="K7" i="43"/>
  <c r="K8" i="43"/>
  <c r="K9" i="43"/>
  <c r="K10" i="43"/>
  <c r="K11" i="43"/>
  <c r="K12" i="43"/>
  <c r="K13" i="43"/>
  <c r="K14" i="43"/>
  <c r="K15" i="43"/>
  <c r="K16" i="43"/>
  <c r="K17" i="43"/>
  <c r="K18" i="43"/>
  <c r="K19" i="43"/>
  <c r="K20" i="43"/>
  <c r="K21" i="43"/>
  <c r="K22" i="43"/>
  <c r="K23" i="43"/>
  <c r="K24" i="43"/>
  <c r="K25" i="43"/>
  <c r="K2" i="43"/>
  <c r="K7" i="28"/>
  <c r="L7" i="28"/>
  <c r="L3" i="28"/>
  <c r="L4" i="28"/>
  <c r="L5" i="28"/>
  <c r="L6" i="28"/>
  <c r="L25" i="28"/>
  <c r="L8" i="28"/>
  <c r="L9" i="28"/>
  <c r="L10" i="28"/>
  <c r="L11" i="28"/>
  <c r="L12" i="28"/>
  <c r="L13" i="28"/>
  <c r="L14" i="28"/>
  <c r="L15" i="28"/>
  <c r="L16" i="28"/>
  <c r="L17" i="28"/>
  <c r="L18" i="28"/>
  <c r="L19" i="28"/>
  <c r="L20" i="28"/>
  <c r="L21" i="28"/>
  <c r="L22" i="28"/>
  <c r="L23" i="28"/>
  <c r="L24" i="28"/>
  <c r="L2" i="28"/>
  <c r="K3" i="28"/>
  <c r="K4" i="28"/>
  <c r="K5" i="28"/>
  <c r="K6" i="28"/>
  <c r="K8" i="28"/>
  <c r="K9" i="28"/>
  <c r="K10" i="28"/>
  <c r="K11" i="28"/>
  <c r="K12" i="28"/>
  <c r="K13" i="28"/>
  <c r="K14" i="28"/>
  <c r="K15" i="28"/>
  <c r="K16" i="28"/>
  <c r="K17" i="28"/>
  <c r="K18" i="28"/>
  <c r="K19" i="28"/>
  <c r="K20" i="28"/>
  <c r="K21" i="28"/>
  <c r="K22" i="28"/>
  <c r="K23" i="28"/>
  <c r="K24" i="28"/>
  <c r="K2" i="28"/>
  <c r="L3" i="26"/>
  <c r="L4" i="26"/>
  <c r="L5" i="26"/>
  <c r="L6" i="26"/>
  <c r="L7" i="26"/>
  <c r="L8" i="26"/>
  <c r="L9" i="26"/>
  <c r="L10" i="26"/>
  <c r="L11" i="26"/>
  <c r="L12" i="26"/>
  <c r="L13" i="26"/>
  <c r="L14" i="26"/>
  <c r="L15" i="26"/>
  <c r="L16" i="26"/>
  <c r="L17" i="26"/>
  <c r="L18" i="26"/>
  <c r="L19" i="26"/>
  <c r="L20" i="26"/>
  <c r="L21" i="26"/>
  <c r="L22" i="26"/>
  <c r="L23" i="26"/>
  <c r="L24" i="26"/>
  <c r="L2" i="26"/>
  <c r="K2" i="26"/>
  <c r="K3" i="26"/>
  <c r="K4" i="26"/>
  <c r="K5" i="26"/>
  <c r="K6" i="26"/>
  <c r="K7" i="26"/>
  <c r="K8" i="26"/>
  <c r="K9" i="26"/>
  <c r="K10" i="26"/>
  <c r="K11" i="26"/>
  <c r="K12" i="26"/>
  <c r="K13" i="26"/>
  <c r="K14" i="26"/>
  <c r="K15" i="26"/>
  <c r="K16" i="26"/>
  <c r="K17" i="26"/>
  <c r="K18" i="26"/>
  <c r="K19" i="26"/>
  <c r="K20" i="26"/>
  <c r="K21" i="26"/>
  <c r="K22" i="26"/>
  <c r="K23" i="26"/>
  <c r="K24" i="26"/>
  <c r="K25" i="26"/>
  <c r="M9" i="6"/>
  <c r="M10" i="6"/>
  <c r="M11" i="6"/>
  <c r="M12" i="6"/>
  <c r="M13" i="6"/>
  <c r="M14" i="6"/>
  <c r="M17" i="6"/>
  <c r="M18" i="6"/>
  <c r="M19" i="6"/>
  <c r="M20" i="6"/>
  <c r="M21" i="6"/>
  <c r="M22" i="6"/>
  <c r="L5" i="6"/>
  <c r="M5" i="6" s="1"/>
  <c r="L6" i="6"/>
  <c r="M6" i="6" s="1"/>
  <c r="L7" i="6"/>
  <c r="M7" i="6" s="1"/>
  <c r="L8" i="6"/>
  <c r="M8" i="6" s="1"/>
  <c r="L9" i="6"/>
  <c r="L10" i="6"/>
  <c r="L11" i="6"/>
  <c r="L12" i="6"/>
  <c r="L13" i="6"/>
  <c r="L14" i="6"/>
  <c r="L15" i="6"/>
  <c r="M15" i="6" s="1"/>
  <c r="L16" i="6"/>
  <c r="M16" i="6" s="1"/>
  <c r="L17" i="6"/>
  <c r="L18" i="6"/>
  <c r="L19" i="6"/>
  <c r="L20" i="6"/>
  <c r="L21" i="6"/>
  <c r="L22" i="6"/>
  <c r="L23" i="6"/>
  <c r="M23" i="6" s="1"/>
  <c r="L24" i="6"/>
  <c r="M24" i="6" s="1"/>
  <c r="G3" i="49" l="1"/>
  <c r="H3" i="49" s="1"/>
  <c r="H24" i="49"/>
  <c r="H23" i="49"/>
  <c r="H22" i="49"/>
  <c r="H21" i="49"/>
  <c r="H20" i="49"/>
  <c r="H19" i="49"/>
  <c r="H18" i="49"/>
  <c r="H17" i="49"/>
  <c r="H16" i="49"/>
  <c r="H15" i="49"/>
  <c r="H14" i="49"/>
  <c r="H13" i="49"/>
  <c r="F13" i="49"/>
  <c r="H12" i="49"/>
  <c r="H11" i="49"/>
  <c r="H10" i="49"/>
  <c r="H9" i="49"/>
  <c r="H8" i="49"/>
  <c r="H7" i="49"/>
  <c r="H6" i="49"/>
  <c r="H5" i="49"/>
  <c r="G4" i="49"/>
  <c r="H4" i="49" s="1"/>
  <c r="H2" i="49"/>
  <c r="G2" i="49"/>
  <c r="G4" i="48"/>
  <c r="K4" i="48" s="1"/>
  <c r="L4" i="48" s="1"/>
  <c r="H4" i="48"/>
  <c r="H3" i="48"/>
  <c r="H24" i="48"/>
  <c r="H23" i="48"/>
  <c r="H22" i="48"/>
  <c r="H21" i="48"/>
  <c r="H20" i="48"/>
  <c r="H19" i="48"/>
  <c r="H18" i="48"/>
  <c r="H17" i="48"/>
  <c r="H16" i="48"/>
  <c r="H15" i="48"/>
  <c r="H14" i="48"/>
  <c r="F13" i="48"/>
  <c r="H13" i="48" s="1"/>
  <c r="H12" i="48"/>
  <c r="H11" i="48"/>
  <c r="H10" i="48"/>
  <c r="H9" i="48"/>
  <c r="H8" i="48"/>
  <c r="H7" i="48"/>
  <c r="H6" i="48"/>
  <c r="H5" i="48"/>
  <c r="G2" i="48"/>
  <c r="H24" i="47"/>
  <c r="H23" i="47"/>
  <c r="H22" i="47"/>
  <c r="H21" i="47"/>
  <c r="H20" i="47"/>
  <c r="H19" i="47"/>
  <c r="H18" i="47"/>
  <c r="H17" i="47"/>
  <c r="H16" i="47"/>
  <c r="H15" i="47"/>
  <c r="H14" i="47"/>
  <c r="F13" i="47"/>
  <c r="H13" i="47" s="1"/>
  <c r="H12" i="47"/>
  <c r="H11" i="47"/>
  <c r="H10" i="47"/>
  <c r="H9" i="47"/>
  <c r="H8" i="47"/>
  <c r="H7" i="47"/>
  <c r="H6" i="47"/>
  <c r="H5" i="47"/>
  <c r="G4" i="47"/>
  <c r="K4" i="47" s="1"/>
  <c r="L4" i="47" s="1"/>
  <c r="H3" i="47"/>
  <c r="G2" i="47"/>
  <c r="K2" i="47" s="1"/>
  <c r="L2" i="47" s="1"/>
  <c r="G3" i="46"/>
  <c r="H24" i="46"/>
  <c r="H23" i="46"/>
  <c r="H22" i="46"/>
  <c r="H21" i="46"/>
  <c r="H20" i="46"/>
  <c r="H19" i="46"/>
  <c r="H18" i="46"/>
  <c r="H17" i="46"/>
  <c r="H16" i="46"/>
  <c r="H15" i="46"/>
  <c r="H14" i="46"/>
  <c r="F13" i="46"/>
  <c r="H13" i="46" s="1"/>
  <c r="H12" i="46"/>
  <c r="H11" i="46"/>
  <c r="H10" i="46"/>
  <c r="H9" i="46"/>
  <c r="H8" i="46"/>
  <c r="H7" i="46"/>
  <c r="H6" i="46"/>
  <c r="H5" i="46"/>
  <c r="G4" i="46"/>
  <c r="G2" i="46"/>
  <c r="H2" i="48" l="1"/>
  <c r="H25" i="48" s="1"/>
  <c r="K2" i="48"/>
  <c r="L2" i="48" s="1"/>
  <c r="L13" i="48"/>
  <c r="H4" i="47"/>
  <c r="H2" i="47"/>
  <c r="L13" i="47"/>
  <c r="H3" i="46"/>
  <c r="K3" i="46"/>
  <c r="L3" i="46" s="1"/>
  <c r="L25" i="46" s="1"/>
  <c r="H2" i="46"/>
  <c r="H25" i="46" s="1"/>
  <c r="K2" i="46"/>
  <c r="L2" i="46" s="1"/>
  <c r="H4" i="46"/>
  <c r="K4" i="46"/>
  <c r="L4" i="46" s="1"/>
  <c r="L13" i="46"/>
  <c r="H25" i="49"/>
  <c r="H25" i="47"/>
  <c r="G4" i="32"/>
  <c r="K4" i="32" s="1"/>
  <c r="L4" i="32" s="1"/>
  <c r="G3" i="32"/>
  <c r="K3" i="32" s="1"/>
  <c r="L3" i="32" s="1"/>
  <c r="G2" i="32"/>
  <c r="K2" i="32" s="1"/>
  <c r="L2" i="32" s="1"/>
  <c r="G3" i="45"/>
  <c r="K3" i="45" s="1"/>
  <c r="L3" i="45" s="1"/>
  <c r="H3" i="45"/>
  <c r="G3" i="44"/>
  <c r="G3" i="43"/>
  <c r="H3" i="43"/>
  <c r="G3" i="28"/>
  <c r="H3" i="28" s="1"/>
  <c r="G3" i="26"/>
  <c r="G3" i="6"/>
  <c r="L3" i="6" s="1"/>
  <c r="M3" i="6" s="1"/>
  <c r="G2" i="45"/>
  <c r="H4" i="44"/>
  <c r="H2" i="44"/>
  <c r="G2" i="44"/>
  <c r="H4" i="43"/>
  <c r="G2" i="43"/>
  <c r="H2" i="43" s="1"/>
  <c r="G2" i="28"/>
  <c r="H2" i="28" s="1"/>
  <c r="H5" i="45"/>
  <c r="H6" i="45"/>
  <c r="H7" i="45"/>
  <c r="H8" i="45"/>
  <c r="H9" i="45"/>
  <c r="H10" i="45"/>
  <c r="H11" i="45"/>
  <c r="H12" i="45"/>
  <c r="H13" i="45"/>
  <c r="H14" i="45"/>
  <c r="H15" i="45"/>
  <c r="H16" i="45"/>
  <c r="H17" i="45"/>
  <c r="H18" i="45"/>
  <c r="H19" i="45"/>
  <c r="H20" i="45"/>
  <c r="H21" i="45"/>
  <c r="H22" i="45"/>
  <c r="H23" i="45"/>
  <c r="H24" i="45"/>
  <c r="G4" i="45"/>
  <c r="K4" i="45" s="1"/>
  <c r="L4" i="45" s="1"/>
  <c r="H3" i="44"/>
  <c r="H5" i="44"/>
  <c r="H6" i="44"/>
  <c r="H7" i="44"/>
  <c r="H8" i="44"/>
  <c r="H9" i="44"/>
  <c r="H10" i="44"/>
  <c r="H11" i="44"/>
  <c r="H12" i="44"/>
  <c r="H13" i="44"/>
  <c r="H14" i="44"/>
  <c r="H15" i="44"/>
  <c r="H16" i="44"/>
  <c r="H17" i="44"/>
  <c r="H18" i="44"/>
  <c r="H19" i="44"/>
  <c r="H20" i="44"/>
  <c r="H21" i="44"/>
  <c r="H22" i="44"/>
  <c r="H23" i="44"/>
  <c r="H24" i="44"/>
  <c r="G4" i="44"/>
  <c r="H5" i="43"/>
  <c r="H6" i="43"/>
  <c r="H7" i="43"/>
  <c r="H8" i="43"/>
  <c r="H9" i="43"/>
  <c r="H10" i="43"/>
  <c r="H11" i="43"/>
  <c r="H12" i="43"/>
  <c r="H13" i="43"/>
  <c r="H14" i="43"/>
  <c r="H15" i="43"/>
  <c r="H16" i="43"/>
  <c r="H17" i="43"/>
  <c r="H18" i="43"/>
  <c r="H19" i="43"/>
  <c r="H20" i="43"/>
  <c r="H21" i="43"/>
  <c r="H22" i="43"/>
  <c r="H23" i="43"/>
  <c r="H24" i="43"/>
  <c r="Q12" i="43"/>
  <c r="T9" i="43"/>
  <c r="G4" i="43"/>
  <c r="H5" i="28"/>
  <c r="H6" i="28"/>
  <c r="H7" i="28"/>
  <c r="H8" i="28"/>
  <c r="H9" i="28"/>
  <c r="H10" i="28"/>
  <c r="H11" i="28"/>
  <c r="H12" i="28"/>
  <c r="H13" i="28"/>
  <c r="H14" i="28"/>
  <c r="H15" i="28"/>
  <c r="H16" i="28"/>
  <c r="H17" i="28"/>
  <c r="H18" i="28"/>
  <c r="H19" i="28"/>
  <c r="H20" i="28"/>
  <c r="H21" i="28"/>
  <c r="H22" i="28"/>
  <c r="H23" i="28"/>
  <c r="H24" i="28"/>
  <c r="H19" i="26"/>
  <c r="AB10" i="28"/>
  <c r="X13" i="28"/>
  <c r="X12" i="28"/>
  <c r="AE7" i="28"/>
  <c r="G4" i="28"/>
  <c r="H4" i="45" l="1"/>
  <c r="H2" i="45"/>
  <c r="H25" i="45" s="1"/>
  <c r="K2" i="45"/>
  <c r="L2" i="45" s="1"/>
  <c r="H25" i="43"/>
  <c r="H25" i="44"/>
  <c r="G4" i="26"/>
  <c r="J2" i="6"/>
  <c r="G4" i="6" l="1"/>
  <c r="L4" i="6" s="1"/>
  <c r="M4" i="6" s="1"/>
  <c r="G2" i="6" l="1"/>
  <c r="M2" i="6" s="1"/>
  <c r="H19" i="6" l="1"/>
  <c r="F13" i="32" l="1"/>
  <c r="L13" i="32" s="1"/>
  <c r="H16" i="32"/>
  <c r="F13" i="26" l="1"/>
  <c r="H24" i="32"/>
  <c r="H23" i="32"/>
  <c r="H22" i="32"/>
  <c r="H21" i="32"/>
  <c r="H20" i="32"/>
  <c r="H19" i="32"/>
  <c r="H18" i="32"/>
  <c r="H17" i="32"/>
  <c r="H15" i="32"/>
  <c r="H14" i="32"/>
  <c r="H13" i="32"/>
  <c r="H12" i="32"/>
  <c r="H11" i="32"/>
  <c r="H10" i="32"/>
  <c r="H9" i="32"/>
  <c r="H8" i="32"/>
  <c r="H7" i="32"/>
  <c r="H6" i="32"/>
  <c r="H5" i="32"/>
  <c r="H4" i="32"/>
  <c r="H3" i="32"/>
  <c r="H2" i="32"/>
  <c r="H25" i="32" l="1"/>
  <c r="H2" i="26" l="1"/>
  <c r="H24" i="26"/>
  <c r="H23" i="26"/>
  <c r="H22" i="26"/>
  <c r="H21" i="26"/>
  <c r="H20" i="26"/>
  <c r="H18" i="26"/>
  <c r="H17" i="26"/>
  <c r="H16" i="26"/>
  <c r="H15" i="26"/>
  <c r="H14" i="26"/>
  <c r="H13" i="26"/>
  <c r="H12" i="26"/>
  <c r="H11" i="26"/>
  <c r="H10" i="26"/>
  <c r="H9" i="26"/>
  <c r="H8" i="26"/>
  <c r="H7" i="26"/>
  <c r="H6" i="26"/>
  <c r="H5" i="26"/>
  <c r="H3" i="26"/>
  <c r="H25" i="26" l="1"/>
  <c r="H25" i="28"/>
  <c r="H24" i="6" l="1"/>
  <c r="H23" i="6"/>
  <c r="H22" i="6"/>
  <c r="H21" i="6"/>
  <c r="H20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3" i="6"/>
  <c r="H2" i="6"/>
  <c r="H25" i="6" l="1"/>
</calcChain>
</file>

<file path=xl/sharedStrings.xml><?xml version="1.0" encoding="utf-8"?>
<sst xmlns="http://schemas.openxmlformats.org/spreadsheetml/2006/main" count="1253" uniqueCount="105">
  <si>
    <t>Kẹp biên PIN năng lượng mặt trời</t>
  </si>
  <si>
    <t>SLM</t>
  </si>
  <si>
    <t>HỆ KHUNG GIÁ ĐỠ NHÔM CAO CẤP</t>
  </si>
  <si>
    <t>HỆ DÂY ĐIỆN DC-AC</t>
  </si>
  <si>
    <t>Việt Nam</t>
  </si>
  <si>
    <t>HỆ TIẾP ĐỊA</t>
  </si>
  <si>
    <t>NHÂN CÔNG LẮP ĐẶT</t>
  </si>
  <si>
    <t>Cái</t>
  </si>
  <si>
    <t>Bộ</t>
  </si>
  <si>
    <t>TẤM PIN PV</t>
  </si>
  <si>
    <t>PIN LƯU TRỮ</t>
  </si>
  <si>
    <t>Kẹp giữa PIN năng lượng mặt trời</t>
  </si>
  <si>
    <t>Tấm</t>
  </si>
  <si>
    <t>Jack MC4 chuyên dụng NLMT 1500V</t>
  </si>
  <si>
    <t>Mét</t>
  </si>
  <si>
    <t>TỦ ĐIỆN NLMT</t>
  </si>
  <si>
    <t>12 Năm</t>
  </si>
  <si>
    <t>5 Năm</t>
  </si>
  <si>
    <t>INVERTER DC-AC</t>
  </si>
  <si>
    <t>Ống nhựa HDPE đường kính 32mm (cuộn 25m)</t>
  </si>
  <si>
    <t>Thanh nối nhôm cao cấp</t>
  </si>
  <si>
    <t>Chân L- nhôm cao cấp</t>
  </si>
  <si>
    <t>Dây điện DC 4.0 màu đen
Cáp điện chuyên dụng DC Solar 0.4 1500V</t>
  </si>
  <si>
    <t>Dây điện DC 4.0 màu đỏ
Cáp điện chuyên dụng DC Solar 0.4 1500V</t>
  </si>
  <si>
    <t>Phụ kiện lắp đặt trọn gói (Bulong, ốc vít, Kẹp dây điện, băng keo điện, vật tư chống thấm thi công,…)</t>
  </si>
  <si>
    <t xml:space="preserve">Kẹp tiếp địa </t>
  </si>
  <si>
    <t xml:space="preserve">Lá tiếp địa </t>
  </si>
  <si>
    <t>Dây từ 35, nối Pin Lithium lên Inverter đã bấm sẵn đầu cốt</t>
  </si>
  <si>
    <t>Dây mạng tín hiệu giao tiếp Inverter - Pin</t>
  </si>
  <si>
    <t>Thanh full rail nhôm cao cấp 4,2m</t>
  </si>
  <si>
    <t>PN Tech/ Leader</t>
  </si>
  <si>
    <t>Dây điện AC 1 pha 2 lõi đồng cao cấp CVV 2x6/2x10mm</t>
  </si>
  <si>
    <t>Cadivi/Trần Phú
Tương đương</t>
  </si>
  <si>
    <t>Dây mạng tín hiệu đo tải tiêu thụ. Từ CT+Metter đến Inverter.
Chống phát ngược lên lưới</t>
  </si>
  <si>
    <t>2 Năm</t>
  </si>
  <si>
    <t xml:space="preserve">Cáp tiếp địa PVC/Cu loại 1x4mm2 </t>
  </si>
  <si>
    <t>Cadivi/Nival</t>
  </si>
  <si>
    <t>Cọc đồng Tiếp Địa 1 mét</t>
  </si>
  <si>
    <t>Nhân công lắp đặt + Vận chuyển + Kiểm định vận hành</t>
  </si>
  <si>
    <t>TỔNG CỘNG GIÁ TRỊ TRỌN GÓI VẬT TƯ THIẾT BỊ - VẬN CHUYỂN - LẮP ĐẶT - BẢO HÀNH</t>
  </si>
  <si>
    <t>Total Price
(Including VAT)</t>
  </si>
  <si>
    <t>Warranty</t>
    <phoneticPr fontId="7" type="noConversion"/>
  </si>
  <si>
    <t>Quatity</t>
    <phoneticPr fontId="7" type="noConversion"/>
  </si>
  <si>
    <t>Unit</t>
    <phoneticPr fontId="7" type="noConversion"/>
  </si>
  <si>
    <t>Brand Name</t>
    <phoneticPr fontId="7" type="noConversion"/>
  </si>
  <si>
    <t>Category</t>
    <phoneticPr fontId="7" type="noConversion"/>
  </si>
  <si>
    <t>No.</t>
    <phoneticPr fontId="7" type="noConversion"/>
  </si>
  <si>
    <t>Dây mạng tín hiệu đo tải tiêu thụ. Từ CT+Metter đến Inverter. Chống phát ngược lên lưới</t>
  </si>
  <si>
    <t>Unit Price
(Including VAT)</t>
    <phoneticPr fontId="7" type="noConversion"/>
  </si>
  <si>
    <t>Specification</t>
    <phoneticPr fontId="7" type="noConversion"/>
  </si>
  <si>
    <t>Dây điện AC 3 pha 4 lõi đồng cao cấp CVV 4x10 mm</t>
  </si>
  <si>
    <t xml:space="preserve">Cadisun/Trần Phú
Tương đương </t>
  </si>
  <si>
    <r>
      <t xml:space="preserve">Dây </t>
    </r>
    <r>
      <rPr>
        <sz val="11"/>
        <color theme="1" tint="0.14999847407452621"/>
        <rFont val="Segoe UI"/>
        <family val="2"/>
      </rPr>
      <t>đ</t>
    </r>
    <r>
      <rPr>
        <sz val="11"/>
        <color theme="1" tint="0.14999847407452621"/>
        <rFont val="Barlow Condensed"/>
      </rPr>
      <t>i</t>
    </r>
    <r>
      <rPr>
        <sz val="11"/>
        <color theme="1" tint="0.14999847407452621"/>
        <rFont val="Calibri"/>
        <family val="2"/>
      </rPr>
      <t>ệ</t>
    </r>
    <r>
      <rPr>
        <sz val="11"/>
        <color theme="1" tint="0.14999847407452621"/>
        <rFont val="Barlow Condensed"/>
      </rPr>
      <t xml:space="preserve">n AC 1 pha 2 lõi </t>
    </r>
    <r>
      <rPr>
        <sz val="11"/>
        <color theme="1" tint="0.14999847407452621"/>
        <rFont val="Segoe UI"/>
        <family val="2"/>
      </rPr>
      <t>đ</t>
    </r>
    <r>
      <rPr>
        <sz val="11"/>
        <color theme="1" tint="0.14999847407452621"/>
        <rFont val="Calibri"/>
        <family val="2"/>
      </rPr>
      <t>ồ</t>
    </r>
    <r>
      <rPr>
        <sz val="11"/>
        <color theme="1" tint="0.14999847407452621"/>
        <rFont val="Barlow Condensed"/>
      </rPr>
      <t>ng cao c</t>
    </r>
    <r>
      <rPr>
        <sz val="11"/>
        <color theme="1" tint="0.14999847407452621"/>
        <rFont val="Calibri"/>
        <family val="2"/>
      </rPr>
      <t>ấ</t>
    </r>
    <r>
      <rPr>
        <sz val="11"/>
        <color theme="1" tint="0.14999847407452621"/>
        <rFont val="Barlow Condensed"/>
      </rPr>
      <t>p CVV 2x10mm</t>
    </r>
    <phoneticPr fontId="7" type="noConversion"/>
  </si>
  <si>
    <t>Aiko</t>
  </si>
  <si>
    <t>15 Năm</t>
  </si>
  <si>
    <t>Inverter SAJ 6KW PRO, Hybrid 1 pha áp thấp,
Model: H2-6K-LS2</t>
  </si>
  <si>
    <t>SAJ</t>
  </si>
  <si>
    <t>10 Năm</t>
  </si>
  <si>
    <t>GENIXGREEN</t>
  </si>
  <si>
    <r>
      <t>T</t>
    </r>
    <r>
      <rPr>
        <sz val="11"/>
        <color rgb="FFFF0000"/>
        <rFont val="Calibri"/>
        <family val="2"/>
        <charset val="163"/>
      </rPr>
      <t>ấ</t>
    </r>
    <r>
      <rPr>
        <sz val="11"/>
        <color rgb="FFFF0000"/>
        <rFont val="Barlow Condensed"/>
      </rPr>
      <t>m Pin m</t>
    </r>
    <r>
      <rPr>
        <sz val="11"/>
        <color rgb="FFFF0000"/>
        <rFont val="Calibri"/>
        <family val="2"/>
        <charset val="163"/>
      </rPr>
      <t>ặ</t>
    </r>
    <r>
      <rPr>
        <sz val="11"/>
        <color rgb="FFFF0000"/>
        <rFont val="Barlow Condensed"/>
      </rPr>
      <t>t tr</t>
    </r>
    <r>
      <rPr>
        <sz val="11"/>
        <color rgb="FFFF0000"/>
        <rFont val="Calibri"/>
        <family val="2"/>
        <charset val="163"/>
      </rPr>
      <t>ờ</t>
    </r>
    <r>
      <rPr>
        <sz val="11"/>
        <color rgb="FFFF0000"/>
        <rFont val="Barlow Condensed"/>
      </rPr>
      <t>i công suất 650W, HS 24,1%, Mã hàng: GRH66Dw-650wp</t>
    </r>
  </si>
  <si>
    <r>
      <rPr>
        <b/>
        <sz val="11"/>
        <color rgb="FFFF0000"/>
        <rFont val="Barlow Condensed"/>
      </rPr>
      <t>Pin Lithium 16kWh IP65</t>
    </r>
    <r>
      <rPr>
        <sz val="11"/>
        <color rgb="FFFF0000"/>
        <rFont val="Barlow Condensed"/>
      </rPr>
      <t xml:space="preserve">
</t>
    </r>
  </si>
  <si>
    <t>Tổng số tấm pin</t>
  </si>
  <si>
    <t>N</t>
  </si>
  <si>
    <t>Số tấm Pin trên 1 hàng</t>
  </si>
  <si>
    <t>C</t>
  </si>
  <si>
    <t>Số hàng</t>
  </si>
  <si>
    <t>R</t>
  </si>
  <si>
    <t>4R</t>
  </si>
  <si>
    <t>2R (C-1)</t>
  </si>
  <si>
    <t>KB+KG</t>
  </si>
  <si>
    <t>KB</t>
  </si>
  <si>
    <t>KG</t>
  </si>
  <si>
    <t>Mini</t>
  </si>
  <si>
    <t>TĐ</t>
  </si>
  <si>
    <t>kẹp biên =</t>
  </si>
  <si>
    <t>kẹp giữa =</t>
  </si>
  <si>
    <t>Minirail =</t>
  </si>
  <si>
    <t xml:space="preserve">Lá tiếp địa = </t>
  </si>
  <si>
    <t>Các tính số thanh rail</t>
  </si>
  <si>
    <t>VD: 10 tấm pin bố trí 2 hàng, 1 hàng 5 tấm pin</t>
  </si>
  <si>
    <t>Chiều dài 1 hàng: 5 tấm x 1.134m = 5.67 + 5% hao hụt = 6m</t>
  </si>
  <si>
    <t>1 hàng có 2 Rail:</t>
  </si>
  <si>
    <t>2 x 6 = 12m</t>
  </si>
  <si>
    <t>Có 2 hàng:</t>
  </si>
  <si>
    <t>2 x 12 = 24m</t>
  </si>
  <si>
    <t>Số thanh Rail:</t>
  </si>
  <si>
    <t>m</t>
  </si>
  <si>
    <t>24/4.2 = 5.7 ~ 6 thanh ~</t>
  </si>
  <si>
    <t>Chân L:</t>
  </si>
  <si>
    <t>25/1 = 25 cái</t>
  </si>
  <si>
    <t>Tính cơ bản:</t>
  </si>
  <si>
    <t>10 tấm khoảng 25 - 30 chân L</t>
  </si>
  <si>
    <t>Inverter SAJ 8KW PRO, Hybrid 1 pha áp thấp,
Model: H2-8K-LS2</t>
  </si>
  <si>
    <t>Inverter SAJ 10KW PRO, Hybrid 1 pha áp thấp,
Model: H2-10K-LS2</t>
  </si>
  <si>
    <t>Tủ điện hệ NLMT Hybrid 5-6kW 1 pha 
+ Vỏ tủ sắt chuyên dụng - Sơn màu trắng sữa, có kính. Kích thước 400x600x200mm
+ ATS khối 4P/100A - 125A
+ At AC 2P 63A; At AC 2P 32A: 
+ At DC-600V 2 strings;
+ Chống sét AC; Chống sét DC</t>
  </si>
  <si>
    <t>EPC Vina Solar</t>
  </si>
  <si>
    <t>Tủ điện hệ NLMT Hybrid 7-8kW 1 pha 
+ Vỏ tủ sắt chuyên dụng - Sơn màu trắng sữa, có kính. Kích thước 400x600x200mm
+ ATS khối 4P/100A - 125A
+ At AC 2P 63A; At AC 2P 40A: 
+ At DC-600V 2 strings;
+ Chống sét AC; Chống sét DC</t>
  </si>
  <si>
    <t>Tủ điện hệ NLMT Hybrid 10-12kW 1 pha 
+ Vỏ tủ sắt chuyên dụng - Sơn màu trắng sữa, có kính. Kích thước 400x600x200mm
+ ATS khối 4P/100A - 125A
+ At AC 2P 63A; At AC 2P 40A: 
+ At DC-600V 2 strings;
+ Chống sét AC; Chống sét DC</t>
  </si>
  <si>
    <t>Inverter SAJ 12KW PRO, Hybrid 1 pha áp thấp,
Model: H2-12K-LS2</t>
  </si>
  <si>
    <t>Inverter SAJ 12KW PRO, Hybrid 3 pha áp thấp,
Model: H2-12K-LT2</t>
  </si>
  <si>
    <t>HOPETREK</t>
  </si>
  <si>
    <t>Tủ điện hệ NLMT Hybrid 11-15kW 3 pha 
+ Vỏ tủ sắt chuyên dụng - Sơn màu trắng sữa, có kính. Kích thước 400x600x200mm
+ ATS khối 4P/100A - 125A
+ At AC 3P 63A; At AC 3P 40A; At AC 3P 32A
+ At DC 2P-800V 2 strings;
+ Chống sét AC; Chống sét DC 2P 1000V</t>
  </si>
  <si>
    <t>Inverter SAJ 15KW PRO, Hybrid 3 pha áp thấp,
Model: PDS33-4T015B-EH</t>
  </si>
  <si>
    <t>Giá bán</t>
  </si>
  <si>
    <t>Thành tiền/Chưa 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</si>
</sst>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-[$VND]\ * #,##0_-;\-[$VND]\ * #,##0_-;_-[$VND]\ * &quot;-&quot;??_-;_-@_-"/>
    <numFmt numFmtId="167" formatCode="0.0"/>
  </numFmts>
  <fonts count="28">
    <font>
      <sz val="11"/>
      <color rgb="FF000000"/>
      <name val="Calibri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6"/>
      <color rgb="FF000000"/>
      <name val="Barlow Condensed"/>
    </font>
    <font>
      <b/>
      <sz val="16"/>
      <color rgb="FF000000"/>
      <name val="Barlow Condensed"/>
    </font>
    <font>
      <b/>
      <sz val="11"/>
      <color theme="1" tint="0.14999847407452621"/>
      <name val="Barlow Condensed"/>
    </font>
    <font>
      <sz val="11"/>
      <color theme="1" tint="0.14999847407452621"/>
      <name val="Barlow Condensed"/>
    </font>
    <font>
      <sz val="9"/>
      <name val="宋体"/>
      <family val="3"/>
      <charset val="134"/>
    </font>
    <font>
      <sz val="11"/>
      <color theme="1" tint="0.14999847407452621"/>
      <name val="Calibri"/>
      <family val="2"/>
    </font>
    <font>
      <sz val="11"/>
      <color theme="1" tint="0.14999847407452621"/>
      <name val="Segoe UI"/>
      <family val="2"/>
    </font>
    <font>
      <b/>
      <sz val="11"/>
      <color theme="1" tint="0.14999847407452621"/>
      <name val="Calibri"/>
      <family val="2"/>
    </font>
    <font>
      <b/>
      <sz val="11"/>
      <color theme="1" tint="0.14999847407452621"/>
      <name val="Barlow Condensed"/>
      <family val="2"/>
    </font>
    <font>
      <sz val="14"/>
      <color rgb="FF000000"/>
      <name val="Barlow Condensed"/>
    </font>
    <font>
      <sz val="11"/>
      <color rgb="FFFF0000"/>
      <name val="Barlow Condensed"/>
    </font>
    <font>
      <sz val="11"/>
      <color rgb="FFFF0000"/>
      <name val="Calibri"/>
      <family val="2"/>
      <charset val="163"/>
    </font>
    <font>
      <sz val="11"/>
      <color rgb="FFFF0000"/>
      <name val="Calibri"/>
      <family val="2"/>
    </font>
    <font>
      <b/>
      <sz val="11"/>
      <color rgb="FFFF0000"/>
      <name val="Barlow Condensed"/>
    </font>
    <font>
      <sz val="14"/>
      <color rgb="FF000000"/>
      <name val="Times New Roman"/>
      <family val="1"/>
    </font>
    <font>
      <b/>
      <sz val="14"/>
      <color rgb="FFFFFFFF"/>
      <name val="Calibri"/>
      <family val="1"/>
      <scheme val="major"/>
    </font>
    <font>
      <sz val="14"/>
      <color rgb="FF2F2F2F"/>
      <name val="Calibri"/>
      <family val="1"/>
      <scheme val="major"/>
    </font>
    <font>
      <b/>
      <sz val="14"/>
      <color rgb="FF2F2F2F"/>
      <name val="Calibri"/>
      <family val="2"/>
      <scheme val="major"/>
    </font>
    <font>
      <b/>
      <sz val="14"/>
      <color theme="1" tint="0.14999847407452621"/>
      <name val="Calibri"/>
      <family val="2"/>
      <scheme val="major"/>
    </font>
    <font>
      <b/>
      <sz val="14"/>
      <name val="Calibri"/>
      <family val="1"/>
      <scheme val="major"/>
    </font>
    <font>
      <sz val="14"/>
      <name val="Calibri"/>
      <family val="1"/>
      <scheme val="major"/>
    </font>
    <font>
      <sz val="12"/>
      <color rgb="FF000000"/>
      <name val="Barlow Condensed"/>
    </font>
    <font>
      <sz val="12"/>
      <name val="Calibri"/>
      <family val="1"/>
      <scheme val="major"/>
    </font>
    <font>
      <sz val="12"/>
      <color rgb="FF000000"/>
      <name val="Times New Roman"/>
      <family val="1"/>
    </font>
    <font>
      <b/>
      <sz val="14"/>
      <color rgb="FF000000"/>
      <name val="Barlow Condensed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1"/>
    <xf numFmtId="43" fontId="2" fillId="0" borderId="1" applyFont="0" applyFill="0" applyBorder="0" applyAlignment="0" applyProtection="0"/>
  </cellStyleXfs>
  <cellXfs count="95">
    <xf numFmtId="0" fontId="0" fillId="0" borderId="0" xfId="0"/>
    <xf numFmtId="0" fontId="4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wrapText="1"/>
    </xf>
    <xf numFmtId="164" fontId="3" fillId="2" borderId="0" xfId="1" applyNumberFormat="1" applyFont="1" applyFill="1"/>
    <xf numFmtId="0" fontId="6" fillId="3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1" fontId="6" fillId="3" borderId="2" xfId="0" applyNumberFormat="1" applyFont="1" applyFill="1" applyBorder="1" applyAlignment="1">
      <alignment horizontal="center" vertical="center"/>
    </xf>
    <xf numFmtId="164" fontId="6" fillId="3" borderId="2" xfId="1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horizontal="left" vertical="center" wrapText="1"/>
    </xf>
    <xf numFmtId="165" fontId="5" fillId="3" borderId="2" xfId="0" applyNumberFormat="1" applyFont="1" applyFill="1" applyBorder="1" applyAlignment="1">
      <alignment vertical="center" wrapText="1"/>
    </xf>
    <xf numFmtId="164" fontId="5" fillId="3" borderId="2" xfId="1" applyNumberFormat="1" applyFont="1" applyFill="1" applyBorder="1" applyAlignment="1">
      <alignment vertical="center" wrapText="1"/>
    </xf>
    <xf numFmtId="0" fontId="11" fillId="5" borderId="2" xfId="0" applyFont="1" applyFill="1" applyBorder="1" applyAlignment="1">
      <alignment horizontal="center" vertical="center" wrapText="1"/>
    </xf>
    <xf numFmtId="164" fontId="10" fillId="5" borderId="2" xfId="1" applyNumberFormat="1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/>
    </xf>
    <xf numFmtId="164" fontId="3" fillId="2" borderId="0" xfId="1" applyNumberFormat="1" applyFont="1" applyFill="1" applyAlignment="1">
      <alignment wrapText="1"/>
    </xf>
    <xf numFmtId="0" fontId="6" fillId="3" borderId="2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3" fillId="3" borderId="2" xfId="0" quotePrefix="1" applyFont="1" applyFill="1" applyBorder="1" applyAlignment="1">
      <alignment vertical="center" wrapText="1"/>
    </xf>
    <xf numFmtId="0" fontId="15" fillId="3" borderId="2" xfId="0" applyFont="1" applyFill="1" applyBorder="1" applyAlignment="1">
      <alignment horizontal="center" vertical="center" wrapText="1"/>
    </xf>
    <xf numFmtId="1" fontId="13" fillId="3" borderId="2" xfId="0" applyNumberFormat="1" applyFont="1" applyFill="1" applyBorder="1" applyAlignment="1">
      <alignment horizontal="center" vertical="center"/>
    </xf>
    <xf numFmtId="164" fontId="13" fillId="3" borderId="2" xfId="1" applyNumberFormat="1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vertical="center" wrapText="1"/>
    </xf>
    <xf numFmtId="0" fontId="17" fillId="0" borderId="0" xfId="0" applyFont="1"/>
    <xf numFmtId="0" fontId="6" fillId="3" borderId="2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167" fontId="6" fillId="3" borderId="2" xfId="0" applyNumberFormat="1" applyFont="1" applyFill="1" applyBorder="1" applyAlignment="1">
      <alignment horizontal="center" vertical="center"/>
    </xf>
    <xf numFmtId="164" fontId="4" fillId="2" borderId="0" xfId="1" applyNumberFormat="1" applyFont="1" applyFill="1" applyAlignment="1">
      <alignment horizontal="center" vertical="center"/>
    </xf>
    <xf numFmtId="164" fontId="4" fillId="2" borderId="0" xfId="1" applyNumberFormat="1" applyFont="1" applyFill="1"/>
    <xf numFmtId="0" fontId="4" fillId="3" borderId="0" xfId="0" applyFont="1" applyFill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20" fillId="3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164" fontId="21" fillId="3" borderId="2" xfId="1" applyNumberFormat="1" applyFont="1" applyFill="1" applyBorder="1" applyAlignment="1">
      <alignment horizontal="center" vertical="center" wrapText="1"/>
    </xf>
    <xf numFmtId="164" fontId="4" fillId="2" borderId="2" xfId="1" applyNumberFormat="1" applyFont="1" applyFill="1" applyBorder="1" applyAlignment="1">
      <alignment horizontal="center" vertical="center"/>
    </xf>
    <xf numFmtId="164" fontId="19" fillId="3" borderId="2" xfId="1" applyNumberFormat="1" applyFont="1" applyFill="1" applyBorder="1" applyAlignment="1">
      <alignment horizontal="center" vertical="center" wrapText="1"/>
    </xf>
    <xf numFmtId="164" fontId="22" fillId="4" borderId="2" xfId="1" applyNumberFormat="1" applyFont="1" applyFill="1" applyBorder="1" applyAlignment="1">
      <alignment horizontal="center" vertical="center" wrapText="1"/>
    </xf>
    <xf numFmtId="164" fontId="20" fillId="3" borderId="3" xfId="1" applyNumberFormat="1" applyFont="1" applyFill="1" applyBorder="1" applyAlignment="1">
      <alignment horizontal="center" vertical="center" wrapText="1"/>
    </xf>
    <xf numFmtId="164" fontId="21" fillId="3" borderId="3" xfId="1" applyNumberFormat="1" applyFont="1" applyFill="1" applyBorder="1" applyAlignment="1">
      <alignment horizontal="center" vertical="center" wrapText="1"/>
    </xf>
    <xf numFmtId="164" fontId="20" fillId="3" borderId="4" xfId="1" applyNumberFormat="1" applyFont="1" applyFill="1" applyBorder="1" applyAlignment="1">
      <alignment horizontal="center" vertical="center" wrapText="1"/>
    </xf>
    <xf numFmtId="164" fontId="21" fillId="3" borderId="4" xfId="1" applyNumberFormat="1" applyFont="1" applyFill="1" applyBorder="1" applyAlignment="1">
      <alignment horizontal="center" vertical="center" wrapText="1"/>
    </xf>
    <xf numFmtId="164" fontId="20" fillId="3" borderId="5" xfId="1" applyNumberFormat="1" applyFont="1" applyFill="1" applyBorder="1" applyAlignment="1">
      <alignment horizontal="center" vertical="center" wrapText="1"/>
    </xf>
    <xf numFmtId="164" fontId="21" fillId="3" borderId="5" xfId="1" applyNumberFormat="1" applyFont="1" applyFill="1" applyBorder="1" applyAlignment="1">
      <alignment horizontal="center" vertical="center" wrapText="1"/>
    </xf>
    <xf numFmtId="164" fontId="4" fillId="3" borderId="0" xfId="1" applyNumberFormat="1" applyFont="1" applyFill="1" applyAlignment="1">
      <alignment horizontal="center" vertical="center"/>
    </xf>
    <xf numFmtId="164" fontId="4" fillId="3" borderId="2" xfId="1" applyNumberFormat="1" applyFont="1" applyFill="1" applyBorder="1" applyAlignment="1">
      <alignment horizontal="center" vertical="center"/>
    </xf>
    <xf numFmtId="164" fontId="4" fillId="3" borderId="2" xfId="1" applyNumberFormat="1" applyFont="1" applyFill="1" applyBorder="1" applyAlignment="1">
      <alignment horizontal="center" vertical="center" wrapText="1"/>
    </xf>
    <xf numFmtId="164" fontId="17" fillId="0" borderId="0" xfId="1" applyNumberFormat="1" applyFont="1"/>
    <xf numFmtId="0" fontId="17" fillId="0" borderId="2" xfId="0" applyFont="1" applyBorder="1" applyAlignment="1">
      <alignment horizontal="center"/>
    </xf>
    <xf numFmtId="164" fontId="23" fillId="4" borderId="2" xfId="1" applyNumberFormat="1" applyFont="1" applyFill="1" applyBorder="1" applyAlignment="1">
      <alignment horizontal="center" vertical="center" wrapText="1"/>
    </xf>
    <xf numFmtId="164" fontId="25" fillId="4" borderId="2" xfId="1" applyNumberFormat="1" applyFont="1" applyFill="1" applyBorder="1" applyAlignment="1">
      <alignment horizontal="center" vertical="center" wrapText="1"/>
    </xf>
    <xf numFmtId="164" fontId="24" fillId="2" borderId="0" xfId="1" applyNumberFormat="1" applyFont="1" applyFill="1"/>
    <xf numFmtId="0" fontId="24" fillId="2" borderId="2" xfId="0" applyFont="1" applyFill="1" applyBorder="1" applyAlignment="1">
      <alignment vertical="center"/>
    </xf>
    <xf numFmtId="0" fontId="26" fillId="0" borderId="2" xfId="0" applyFont="1" applyBorder="1" applyAlignment="1"/>
    <xf numFmtId="0" fontId="24" fillId="2" borderId="0" xfId="0" applyFont="1" applyFill="1" applyAlignment="1"/>
    <xf numFmtId="164" fontId="24" fillId="3" borderId="2" xfId="1" applyNumberFormat="1" applyFont="1" applyFill="1" applyBorder="1" applyAlignment="1">
      <alignment horizontal="center" vertical="center"/>
    </xf>
    <xf numFmtId="164" fontId="24" fillId="3" borderId="2" xfId="1" applyNumberFormat="1" applyFont="1" applyFill="1" applyBorder="1" applyAlignment="1">
      <alignment horizontal="center" vertical="center" wrapText="1"/>
    </xf>
    <xf numFmtId="164" fontId="4" fillId="2" borderId="0" xfId="0" applyNumberFormat="1" applyFont="1" applyFill="1" applyAlignment="1">
      <alignment horizontal="center" vertical="center"/>
    </xf>
    <xf numFmtId="164" fontId="12" fillId="2" borderId="0" xfId="1" applyNumberFormat="1" applyFont="1" applyFill="1"/>
    <xf numFmtId="164" fontId="12" fillId="3" borderId="2" xfId="1" applyNumberFormat="1" applyFont="1" applyFill="1" applyBorder="1" applyAlignment="1">
      <alignment horizontal="center" vertical="center"/>
    </xf>
    <xf numFmtId="164" fontId="17" fillId="3" borderId="2" xfId="1" applyNumberFormat="1" applyFont="1" applyFill="1" applyBorder="1"/>
    <xf numFmtId="164" fontId="27" fillId="3" borderId="2" xfId="1" applyNumberFormat="1" applyFont="1" applyFill="1" applyBorder="1" applyAlignment="1">
      <alignment horizontal="center" vertical="center"/>
    </xf>
    <xf numFmtId="164" fontId="12" fillId="3" borderId="0" xfId="1" applyNumberFormat="1" applyFont="1" applyFill="1"/>
    <xf numFmtId="0" fontId="5" fillId="3" borderId="2" xfId="0" applyFont="1" applyFill="1" applyBorder="1" applyAlignment="1">
      <alignment vertical="center" wrapText="1"/>
    </xf>
    <xf numFmtId="43" fontId="12" fillId="3" borderId="2" xfId="1" applyNumberFormat="1" applyFont="1" applyFill="1" applyBorder="1" applyAlignment="1">
      <alignment horizontal="center" vertical="center"/>
    </xf>
    <xf numFmtId="43" fontId="17" fillId="3" borderId="2" xfId="1" applyNumberFormat="1" applyFont="1" applyFill="1" applyBorder="1"/>
    <xf numFmtId="43" fontId="27" fillId="3" borderId="2" xfId="1" applyNumberFormat="1" applyFont="1" applyFill="1" applyBorder="1" applyAlignment="1">
      <alignment horizontal="center" vertical="center"/>
    </xf>
    <xf numFmtId="43" fontId="12" fillId="3" borderId="0" xfId="1" applyNumberFormat="1" applyFont="1" applyFill="1"/>
    <xf numFmtId="0" fontId="3" fillId="3" borderId="0" xfId="0" applyFont="1" applyFill="1"/>
    <xf numFmtId="164" fontId="3" fillId="3" borderId="0" xfId="1" applyNumberFormat="1" applyFont="1" applyFill="1"/>
    <xf numFmtId="0" fontId="4" fillId="3" borderId="2" xfId="0" applyFont="1" applyFill="1" applyBorder="1" applyAlignment="1">
      <alignment horizontal="center" vertical="center"/>
    </xf>
    <xf numFmtId="164" fontId="3" fillId="3" borderId="2" xfId="1" applyNumberFormat="1" applyFont="1" applyFill="1" applyBorder="1" applyAlignment="1">
      <alignment horizontal="center" vertical="center"/>
    </xf>
    <xf numFmtId="0" fontId="17" fillId="3" borderId="2" xfId="0" applyFont="1" applyFill="1" applyBorder="1"/>
    <xf numFmtId="0" fontId="4" fillId="3" borderId="2" xfId="0" applyFont="1" applyFill="1" applyBorder="1" applyAlignment="1">
      <alignment vertical="center"/>
    </xf>
    <xf numFmtId="164" fontId="23" fillId="4" borderId="2" xfId="1" applyNumberFormat="1" applyFont="1" applyFill="1" applyBorder="1" applyAlignment="1">
      <alignment vertical="center" wrapText="1"/>
    </xf>
    <xf numFmtId="164" fontId="3" fillId="3" borderId="2" xfId="1" applyNumberFormat="1" applyFont="1" applyFill="1" applyBorder="1" applyAlignment="1">
      <alignment vertical="center"/>
    </xf>
    <xf numFmtId="0" fontId="17" fillId="3" borderId="2" xfId="0" applyFont="1" applyFill="1" applyBorder="1" applyAlignment="1"/>
    <xf numFmtId="164" fontId="4" fillId="3" borderId="2" xfId="1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17" fillId="3" borderId="4" xfId="0" applyFont="1" applyFill="1" applyBorder="1"/>
    <xf numFmtId="0" fontId="4" fillId="3" borderId="5" xfId="0" applyFont="1" applyFill="1" applyBorder="1" applyAlignment="1">
      <alignment horizontal="center" vertical="center"/>
    </xf>
    <xf numFmtId="164" fontId="23" fillId="4" borderId="3" xfId="1" applyNumberFormat="1" applyFont="1" applyFill="1" applyBorder="1" applyAlignment="1">
      <alignment vertical="center" wrapText="1"/>
    </xf>
    <xf numFmtId="164" fontId="12" fillId="3" borderId="4" xfId="1" applyNumberFormat="1" applyFont="1" applyFill="1" applyBorder="1" applyAlignment="1">
      <alignment horizontal="center" vertical="center"/>
    </xf>
    <xf numFmtId="164" fontId="12" fillId="3" borderId="5" xfId="1" applyNumberFormat="1" applyFont="1" applyFill="1" applyBorder="1" applyAlignment="1">
      <alignment horizontal="center" vertical="center"/>
    </xf>
    <xf numFmtId="164" fontId="27" fillId="3" borderId="5" xfId="1" applyNumberFormat="1" applyFont="1" applyFill="1" applyBorder="1" applyAlignment="1">
      <alignment horizontal="center" vertical="center"/>
    </xf>
    <xf numFmtId="164" fontId="4" fillId="6" borderId="2" xfId="1" applyNumberFormat="1" applyFont="1" applyFill="1" applyBorder="1" applyAlignment="1">
      <alignment horizontal="center" vertical="center"/>
    </xf>
  </cellXfs>
  <cellStyles count="4">
    <cellStyle name="Comma" xfId="1" builtinId="3"/>
    <cellStyle name="Comma 2" xfId="3" xr:uid="{D6D2197E-31C9-D94B-9CBA-6AE0EDE6E6A0}"/>
    <cellStyle name="Normal" xfId="0" builtinId="0"/>
    <cellStyle name="Normal 2" xfId="2" xr:uid="{029EF8ED-C5CE-B94F-ACB7-D194A7F3A175}"/>
  </cellStyles>
  <dxfs count="0"/>
  <tableStyles count="0" defaultTableStyle="TableStyleMedium2" defaultPivotStyle="PivotStyleLight16"/>
  <colors>
    <mruColors>
      <color rgb="FFF15523"/>
      <color rgb="FF071439"/>
      <color rgb="FF071339"/>
      <color rgb="FFD9D9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8FFA9-B35E-C440-9ED8-F31214B63325}">
  <sheetPr>
    <tabColor rgb="FF00B050"/>
  </sheetPr>
  <dimension ref="A1:N26"/>
  <sheetViews>
    <sheetView showGridLines="0" topLeftCell="C1" zoomScale="82" zoomScaleNormal="82" workbookViewId="0">
      <pane ySplit="1" topLeftCell="A8" activePane="bottomLeft" state="frozen"/>
      <selection activeCell="C1" sqref="C1"/>
      <selection pane="bottomLeft" activeCell="M26" sqref="M26"/>
    </sheetView>
  </sheetViews>
  <sheetFormatPr defaultColWidth="15.7109375" defaultRowHeight="20.25"/>
  <cols>
    <col min="1" max="1" width="4.5703125" style="2" bestFit="1" customWidth="1"/>
    <col min="2" max="2" width="16.42578125" style="3" customWidth="1"/>
    <col min="3" max="3" width="52.7109375" style="2" customWidth="1"/>
    <col min="4" max="4" width="15.7109375" style="4" customWidth="1"/>
    <col min="5" max="5" width="11.140625" style="4" customWidth="1"/>
    <col min="6" max="6" width="16.42578125" style="4" customWidth="1"/>
    <col min="7" max="7" width="22.140625" style="4" hidden="1" customWidth="1"/>
    <col min="8" max="8" width="20.28515625" style="4" hidden="1" customWidth="1"/>
    <col min="9" max="9" width="12.85546875" style="5" hidden="1" customWidth="1"/>
    <col min="10" max="10" width="0" style="2" hidden="1" customWidth="1"/>
    <col min="11" max="11" width="9.5703125" style="2" hidden="1" customWidth="1"/>
    <col min="12" max="12" width="16.7109375" style="5" customWidth="1"/>
    <col min="13" max="13" width="22.28515625" style="5" customWidth="1"/>
    <col min="14" max="14" width="19.140625" style="2" customWidth="1"/>
    <col min="15" max="16384" width="15.7109375" style="2"/>
  </cols>
  <sheetData>
    <row r="1" spans="1:14" s="1" customFormat="1" ht="37.35" customHeight="1">
      <c r="A1" s="17" t="s">
        <v>46</v>
      </c>
      <c r="B1" s="18" t="s">
        <v>45</v>
      </c>
      <c r="C1" s="18" t="s">
        <v>49</v>
      </c>
      <c r="D1" s="17" t="s">
        <v>44</v>
      </c>
      <c r="E1" s="17" t="s">
        <v>43</v>
      </c>
      <c r="F1" s="7" t="s">
        <v>42</v>
      </c>
      <c r="G1" s="15" t="s">
        <v>48</v>
      </c>
      <c r="H1" s="7" t="s">
        <v>40</v>
      </c>
      <c r="I1" s="16" t="s">
        <v>41</v>
      </c>
      <c r="K1" s="39"/>
      <c r="L1" s="45" t="s">
        <v>103</v>
      </c>
      <c r="M1" s="45" t="s">
        <v>104</v>
      </c>
    </row>
    <row r="2" spans="1:14" s="1" customFormat="1" ht="70.5" customHeight="1">
      <c r="A2" s="21">
        <v>1</v>
      </c>
      <c r="B2" s="21" t="s">
        <v>9</v>
      </c>
      <c r="C2" s="22" t="s">
        <v>59</v>
      </c>
      <c r="D2" s="23" t="s">
        <v>53</v>
      </c>
      <c r="E2" s="21" t="s">
        <v>12</v>
      </c>
      <c r="F2" s="24">
        <v>8</v>
      </c>
      <c r="G2" s="25">
        <f>2460000/1.08</f>
        <v>2277777.7777777775</v>
      </c>
      <c r="H2" s="25">
        <f>F2*G2</f>
        <v>18222222.22222222</v>
      </c>
      <c r="I2" s="9" t="s">
        <v>54</v>
      </c>
      <c r="J2" s="1">
        <f>8*650</f>
        <v>5200</v>
      </c>
      <c r="K2" s="40">
        <v>1.18</v>
      </c>
      <c r="L2" s="42">
        <f>G2*K2</f>
        <v>2687777.7777777775</v>
      </c>
      <c r="M2" s="44">
        <f>L2*F2</f>
        <v>21502222.22222222</v>
      </c>
      <c r="N2" s="65"/>
    </row>
    <row r="3" spans="1:14" s="1" customFormat="1" ht="70.5" customHeight="1">
      <c r="A3" s="21">
        <v>2</v>
      </c>
      <c r="B3" s="21" t="s">
        <v>18</v>
      </c>
      <c r="C3" s="22" t="s">
        <v>55</v>
      </c>
      <c r="D3" s="21" t="s">
        <v>56</v>
      </c>
      <c r="E3" s="24" t="s">
        <v>8</v>
      </c>
      <c r="F3" s="24">
        <v>1</v>
      </c>
      <c r="G3" s="25">
        <f>18000000/1.08</f>
        <v>16666666.666666666</v>
      </c>
      <c r="H3" s="25">
        <f t="shared" ref="H3:H24" si="0">F3*G3</f>
        <v>16666666.666666666</v>
      </c>
      <c r="I3" s="9" t="s">
        <v>57</v>
      </c>
      <c r="K3" s="40">
        <v>1.2</v>
      </c>
      <c r="L3" s="42">
        <f t="shared" ref="L3:L24" si="1">G3*K3</f>
        <v>20000000</v>
      </c>
      <c r="M3" s="44">
        <f t="shared" ref="M3:M24" si="2">L3*F3</f>
        <v>20000000</v>
      </c>
      <c r="N3" s="65"/>
    </row>
    <row r="4" spans="1:14" s="1" customFormat="1" ht="71.45" customHeight="1">
      <c r="A4" s="38">
        <v>3</v>
      </c>
      <c r="B4" s="38" t="s">
        <v>10</v>
      </c>
      <c r="C4" s="22" t="s">
        <v>60</v>
      </c>
      <c r="D4" s="21" t="s">
        <v>58</v>
      </c>
      <c r="E4" s="24" t="s">
        <v>8</v>
      </c>
      <c r="F4" s="24">
        <v>1</v>
      </c>
      <c r="G4" s="25">
        <f>43218000/1.08</f>
        <v>40016666.666666664</v>
      </c>
      <c r="H4" s="25"/>
      <c r="I4" s="9" t="s">
        <v>17</v>
      </c>
      <c r="K4" s="40">
        <v>1.18</v>
      </c>
      <c r="L4" s="42">
        <f t="shared" si="1"/>
        <v>47219666.666666664</v>
      </c>
      <c r="M4" s="44">
        <f t="shared" si="2"/>
        <v>47219666.666666664</v>
      </c>
      <c r="N4" s="65"/>
    </row>
    <row r="5" spans="1:14" s="1" customFormat="1" ht="60.75" customHeight="1">
      <c r="A5" s="38"/>
      <c r="B5" s="38"/>
      <c r="C5" s="27" t="s">
        <v>27</v>
      </c>
      <c r="D5" s="21" t="s">
        <v>1</v>
      </c>
      <c r="E5" s="21" t="s">
        <v>8</v>
      </c>
      <c r="F5" s="24">
        <v>1</v>
      </c>
      <c r="G5" s="25">
        <v>800000</v>
      </c>
      <c r="H5" s="25">
        <f t="shared" si="0"/>
        <v>800000</v>
      </c>
      <c r="I5" s="9" t="s">
        <v>17</v>
      </c>
      <c r="K5" s="40">
        <v>1.18</v>
      </c>
      <c r="L5" s="42">
        <f t="shared" si="1"/>
        <v>944000</v>
      </c>
      <c r="M5" s="44">
        <f t="shared" si="2"/>
        <v>944000</v>
      </c>
      <c r="N5" s="65"/>
    </row>
    <row r="6" spans="1:14" s="1" customFormat="1" ht="55.5" customHeight="1">
      <c r="A6" s="38"/>
      <c r="B6" s="38"/>
      <c r="C6" s="27" t="s">
        <v>28</v>
      </c>
      <c r="D6" s="21" t="s">
        <v>4</v>
      </c>
      <c r="E6" s="21" t="s">
        <v>8</v>
      </c>
      <c r="F6" s="24">
        <v>1</v>
      </c>
      <c r="G6" s="25">
        <v>100000</v>
      </c>
      <c r="H6" s="25">
        <f t="shared" si="0"/>
        <v>100000</v>
      </c>
      <c r="I6" s="9" t="s">
        <v>17</v>
      </c>
      <c r="K6" s="40">
        <v>1.18</v>
      </c>
      <c r="L6" s="42">
        <f t="shared" si="1"/>
        <v>118000</v>
      </c>
      <c r="M6" s="44">
        <f t="shared" si="2"/>
        <v>118000</v>
      </c>
      <c r="N6" s="65"/>
    </row>
    <row r="7" spans="1:14" s="1" customFormat="1">
      <c r="A7" s="35">
        <v>4</v>
      </c>
      <c r="B7" s="35" t="s">
        <v>2</v>
      </c>
      <c r="C7" s="11" t="s">
        <v>0</v>
      </c>
      <c r="D7" s="6" t="s">
        <v>4</v>
      </c>
      <c r="E7" s="6" t="s">
        <v>7</v>
      </c>
      <c r="F7" s="8">
        <v>8</v>
      </c>
      <c r="G7" s="9">
        <v>11000</v>
      </c>
      <c r="H7" s="9">
        <f t="shared" si="0"/>
        <v>88000</v>
      </c>
      <c r="I7" s="9" t="s">
        <v>17</v>
      </c>
      <c r="K7" s="40">
        <v>1.2</v>
      </c>
      <c r="L7" s="42">
        <f t="shared" si="1"/>
        <v>13200</v>
      </c>
      <c r="M7" s="44">
        <f t="shared" si="2"/>
        <v>105600</v>
      </c>
      <c r="N7" s="65"/>
    </row>
    <row r="8" spans="1:14" s="1" customFormat="1">
      <c r="A8" s="35"/>
      <c r="B8" s="35"/>
      <c r="C8" s="11" t="s">
        <v>11</v>
      </c>
      <c r="D8" s="6" t="s">
        <v>4</v>
      </c>
      <c r="E8" s="6" t="s">
        <v>7</v>
      </c>
      <c r="F8" s="8">
        <v>18</v>
      </c>
      <c r="G8" s="9">
        <v>11000</v>
      </c>
      <c r="H8" s="9">
        <f t="shared" si="0"/>
        <v>198000</v>
      </c>
      <c r="I8" s="9" t="s">
        <v>17</v>
      </c>
      <c r="K8" s="40">
        <v>1.2</v>
      </c>
      <c r="L8" s="42">
        <f t="shared" si="1"/>
        <v>13200</v>
      </c>
      <c r="M8" s="44">
        <f t="shared" si="2"/>
        <v>237600</v>
      </c>
      <c r="N8" s="65"/>
    </row>
    <row r="9" spans="1:14" s="1" customFormat="1">
      <c r="A9" s="35"/>
      <c r="B9" s="35"/>
      <c r="C9" s="11" t="s">
        <v>29</v>
      </c>
      <c r="D9" s="6" t="s">
        <v>4</v>
      </c>
      <c r="E9" s="6" t="s">
        <v>7</v>
      </c>
      <c r="F9" s="8">
        <v>6</v>
      </c>
      <c r="G9" s="9">
        <v>360000</v>
      </c>
      <c r="H9" s="9">
        <f t="shared" si="0"/>
        <v>2160000</v>
      </c>
      <c r="I9" s="9" t="s">
        <v>17</v>
      </c>
      <c r="K9" s="40">
        <v>1.2</v>
      </c>
      <c r="L9" s="42">
        <f t="shared" si="1"/>
        <v>432000</v>
      </c>
      <c r="M9" s="44">
        <f t="shared" si="2"/>
        <v>2592000</v>
      </c>
      <c r="N9" s="65"/>
    </row>
    <row r="10" spans="1:14" s="1" customFormat="1">
      <c r="A10" s="35"/>
      <c r="B10" s="35"/>
      <c r="C10" s="11" t="s">
        <v>20</v>
      </c>
      <c r="D10" s="6" t="s">
        <v>4</v>
      </c>
      <c r="E10" s="6" t="s">
        <v>7</v>
      </c>
      <c r="F10" s="8">
        <v>6</v>
      </c>
      <c r="G10" s="9">
        <v>20000</v>
      </c>
      <c r="H10" s="9">
        <f t="shared" si="0"/>
        <v>120000</v>
      </c>
      <c r="I10" s="9" t="s">
        <v>17</v>
      </c>
      <c r="K10" s="40">
        <v>1.2</v>
      </c>
      <c r="L10" s="42">
        <f t="shared" si="1"/>
        <v>24000</v>
      </c>
      <c r="M10" s="44">
        <f t="shared" si="2"/>
        <v>144000</v>
      </c>
      <c r="N10" s="65"/>
    </row>
    <row r="11" spans="1:14" s="1" customFormat="1">
      <c r="A11" s="35"/>
      <c r="B11" s="35"/>
      <c r="C11" s="11" t="s">
        <v>21</v>
      </c>
      <c r="D11" s="6" t="s">
        <v>4</v>
      </c>
      <c r="E11" s="6" t="s">
        <v>7</v>
      </c>
      <c r="F11" s="8">
        <v>28</v>
      </c>
      <c r="G11" s="9">
        <v>20000</v>
      </c>
      <c r="H11" s="9">
        <f t="shared" si="0"/>
        <v>560000</v>
      </c>
      <c r="I11" s="9" t="s">
        <v>17</v>
      </c>
      <c r="K11" s="40">
        <v>1.2</v>
      </c>
      <c r="L11" s="42">
        <f t="shared" si="1"/>
        <v>24000</v>
      </c>
      <c r="M11" s="44">
        <f t="shared" si="2"/>
        <v>672000</v>
      </c>
      <c r="N11" s="65"/>
    </row>
    <row r="12" spans="1:14" s="1" customFormat="1">
      <c r="A12" s="35"/>
      <c r="B12" s="35"/>
      <c r="C12" s="11" t="s">
        <v>25</v>
      </c>
      <c r="D12" s="6" t="s">
        <v>4</v>
      </c>
      <c r="E12" s="6" t="s">
        <v>7</v>
      </c>
      <c r="F12" s="8">
        <v>2</v>
      </c>
      <c r="G12" s="9">
        <v>20000</v>
      </c>
      <c r="H12" s="9">
        <f t="shared" si="0"/>
        <v>40000</v>
      </c>
      <c r="I12" s="9" t="s">
        <v>17</v>
      </c>
      <c r="K12" s="40">
        <v>1.2</v>
      </c>
      <c r="L12" s="42">
        <f t="shared" si="1"/>
        <v>24000</v>
      </c>
      <c r="M12" s="44">
        <f t="shared" si="2"/>
        <v>48000</v>
      </c>
      <c r="N12" s="65"/>
    </row>
    <row r="13" spans="1:14" s="1" customFormat="1">
      <c r="A13" s="35"/>
      <c r="B13" s="35"/>
      <c r="C13" s="11" t="s">
        <v>26</v>
      </c>
      <c r="D13" s="6" t="s">
        <v>4</v>
      </c>
      <c r="E13" s="6" t="s">
        <v>7</v>
      </c>
      <c r="F13" s="8">
        <v>8</v>
      </c>
      <c r="G13" s="9">
        <v>2000</v>
      </c>
      <c r="H13" s="9">
        <f t="shared" si="0"/>
        <v>16000</v>
      </c>
      <c r="I13" s="9" t="s">
        <v>17</v>
      </c>
      <c r="K13" s="40">
        <v>1.2</v>
      </c>
      <c r="L13" s="42">
        <f t="shared" si="1"/>
        <v>2400</v>
      </c>
      <c r="M13" s="44">
        <f t="shared" si="2"/>
        <v>19200</v>
      </c>
      <c r="N13" s="65"/>
    </row>
    <row r="14" spans="1:14" s="1" customFormat="1" ht="28.5">
      <c r="A14" s="35">
        <v>5</v>
      </c>
      <c r="B14" s="35" t="s">
        <v>3</v>
      </c>
      <c r="C14" s="10" t="s">
        <v>22</v>
      </c>
      <c r="D14" s="6" t="s">
        <v>30</v>
      </c>
      <c r="E14" s="6" t="s">
        <v>14</v>
      </c>
      <c r="F14" s="8">
        <v>60</v>
      </c>
      <c r="G14" s="9">
        <v>20000</v>
      </c>
      <c r="H14" s="9">
        <f t="shared" si="0"/>
        <v>1200000</v>
      </c>
      <c r="I14" s="9" t="s">
        <v>17</v>
      </c>
      <c r="K14" s="40">
        <v>1.2</v>
      </c>
      <c r="L14" s="42">
        <f t="shared" si="1"/>
        <v>24000</v>
      </c>
      <c r="M14" s="44">
        <f t="shared" si="2"/>
        <v>1440000</v>
      </c>
      <c r="N14" s="65"/>
    </row>
    <row r="15" spans="1:14" s="1" customFormat="1" ht="28.5">
      <c r="A15" s="35"/>
      <c r="B15" s="35"/>
      <c r="C15" s="10" t="s">
        <v>23</v>
      </c>
      <c r="D15" s="6" t="s">
        <v>30</v>
      </c>
      <c r="E15" s="6" t="s">
        <v>14</v>
      </c>
      <c r="F15" s="8">
        <v>60</v>
      </c>
      <c r="G15" s="9">
        <v>20000</v>
      </c>
      <c r="H15" s="9">
        <f t="shared" si="0"/>
        <v>1200000</v>
      </c>
      <c r="I15" s="9" t="s">
        <v>17</v>
      </c>
      <c r="K15" s="40">
        <v>1.2</v>
      </c>
      <c r="L15" s="42">
        <f t="shared" si="1"/>
        <v>24000</v>
      </c>
      <c r="M15" s="44">
        <f t="shared" si="2"/>
        <v>1440000</v>
      </c>
      <c r="N15" s="65"/>
    </row>
    <row r="16" spans="1:14" s="1" customFormat="1" ht="42.75">
      <c r="A16" s="35"/>
      <c r="B16" s="35"/>
      <c r="C16" s="11" t="s">
        <v>31</v>
      </c>
      <c r="D16" s="6" t="s">
        <v>32</v>
      </c>
      <c r="E16" s="6" t="s">
        <v>14</v>
      </c>
      <c r="F16" s="8">
        <v>20</v>
      </c>
      <c r="G16" s="9">
        <v>40000</v>
      </c>
      <c r="H16" s="9">
        <f t="shared" si="0"/>
        <v>800000</v>
      </c>
      <c r="I16" s="9" t="s">
        <v>17</v>
      </c>
      <c r="K16" s="40">
        <v>1.2</v>
      </c>
      <c r="L16" s="42">
        <f t="shared" si="1"/>
        <v>48000</v>
      </c>
      <c r="M16" s="44">
        <f t="shared" si="2"/>
        <v>960000</v>
      </c>
      <c r="N16" s="65"/>
    </row>
    <row r="17" spans="1:14" s="1" customFormat="1" ht="38.25" customHeight="1">
      <c r="A17" s="35"/>
      <c r="B17" s="35"/>
      <c r="C17" s="10" t="s">
        <v>33</v>
      </c>
      <c r="D17" s="6" t="s">
        <v>4</v>
      </c>
      <c r="E17" s="6" t="s">
        <v>8</v>
      </c>
      <c r="F17" s="8">
        <v>1</v>
      </c>
      <c r="G17" s="9">
        <v>300000</v>
      </c>
      <c r="H17" s="9">
        <f t="shared" si="0"/>
        <v>300000</v>
      </c>
      <c r="I17" s="9" t="s">
        <v>17</v>
      </c>
      <c r="K17" s="40">
        <v>1.2</v>
      </c>
      <c r="L17" s="42">
        <f t="shared" si="1"/>
        <v>360000</v>
      </c>
      <c r="M17" s="44">
        <f t="shared" si="2"/>
        <v>360000</v>
      </c>
      <c r="N17" s="65"/>
    </row>
    <row r="18" spans="1:14" s="1" customFormat="1" ht="28.5">
      <c r="A18" s="35"/>
      <c r="B18" s="35"/>
      <c r="C18" s="10" t="s">
        <v>13</v>
      </c>
      <c r="D18" s="6" t="s">
        <v>30</v>
      </c>
      <c r="E18" s="6" t="s">
        <v>8</v>
      </c>
      <c r="F18" s="8">
        <v>8</v>
      </c>
      <c r="G18" s="9">
        <v>30000</v>
      </c>
      <c r="H18" s="9">
        <f t="shared" si="0"/>
        <v>240000</v>
      </c>
      <c r="I18" s="9" t="s">
        <v>17</v>
      </c>
      <c r="K18" s="40">
        <v>1.2</v>
      </c>
      <c r="L18" s="42">
        <f t="shared" si="1"/>
        <v>36000</v>
      </c>
      <c r="M18" s="44">
        <f t="shared" si="2"/>
        <v>288000</v>
      </c>
      <c r="N18" s="65"/>
    </row>
    <row r="19" spans="1:14" s="1" customFormat="1" ht="119.45" customHeight="1">
      <c r="A19" s="6">
        <v>6</v>
      </c>
      <c r="B19" s="26" t="s">
        <v>15</v>
      </c>
      <c r="C19" s="27" t="s">
        <v>94</v>
      </c>
      <c r="D19" s="26" t="s">
        <v>95</v>
      </c>
      <c r="E19" s="26" t="s">
        <v>8</v>
      </c>
      <c r="F19" s="24">
        <v>1</v>
      </c>
      <c r="G19" s="25">
        <v>5500000</v>
      </c>
      <c r="H19" s="25">
        <f>F19*G19</f>
        <v>5500000</v>
      </c>
      <c r="I19" s="25" t="s">
        <v>34</v>
      </c>
      <c r="K19" s="40">
        <v>1.2</v>
      </c>
      <c r="L19" s="42">
        <f t="shared" si="1"/>
        <v>6600000</v>
      </c>
      <c r="M19" s="44">
        <f t="shared" si="2"/>
        <v>6600000</v>
      </c>
      <c r="N19" s="65"/>
    </row>
    <row r="20" spans="1:14" s="1" customFormat="1">
      <c r="A20" s="35">
        <v>7</v>
      </c>
      <c r="B20" s="37" t="s">
        <v>5</v>
      </c>
      <c r="C20" s="10" t="s">
        <v>35</v>
      </c>
      <c r="D20" s="6" t="s">
        <v>36</v>
      </c>
      <c r="E20" s="6" t="s">
        <v>14</v>
      </c>
      <c r="F20" s="8">
        <v>30</v>
      </c>
      <c r="G20" s="9">
        <v>15000</v>
      </c>
      <c r="H20" s="9">
        <f t="shared" si="0"/>
        <v>450000</v>
      </c>
      <c r="I20" s="9" t="s">
        <v>34</v>
      </c>
      <c r="K20" s="40">
        <v>1.2</v>
      </c>
      <c r="L20" s="42">
        <f t="shared" si="1"/>
        <v>18000</v>
      </c>
      <c r="M20" s="44">
        <f t="shared" si="2"/>
        <v>540000</v>
      </c>
      <c r="N20" s="65"/>
    </row>
    <row r="21" spans="1:14" s="1" customFormat="1">
      <c r="A21" s="35"/>
      <c r="B21" s="37"/>
      <c r="C21" s="10" t="s">
        <v>37</v>
      </c>
      <c r="D21" s="6" t="s">
        <v>4</v>
      </c>
      <c r="E21" s="6" t="s">
        <v>7</v>
      </c>
      <c r="F21" s="8">
        <v>1</v>
      </c>
      <c r="G21" s="9">
        <v>250000</v>
      </c>
      <c r="H21" s="9">
        <f t="shared" si="0"/>
        <v>250000</v>
      </c>
      <c r="I21" s="9" t="s">
        <v>34</v>
      </c>
      <c r="K21" s="40">
        <v>1.2</v>
      </c>
      <c r="L21" s="42">
        <f t="shared" si="1"/>
        <v>300000</v>
      </c>
      <c r="M21" s="44">
        <f t="shared" si="2"/>
        <v>300000</v>
      </c>
      <c r="N21" s="65"/>
    </row>
    <row r="22" spans="1:14" s="1" customFormat="1">
      <c r="A22" s="35"/>
      <c r="B22" s="37"/>
      <c r="C22" s="12" t="s">
        <v>19</v>
      </c>
      <c r="D22" s="6" t="s">
        <v>4</v>
      </c>
      <c r="E22" s="6" t="s">
        <v>14</v>
      </c>
      <c r="F22" s="8">
        <v>30</v>
      </c>
      <c r="G22" s="9">
        <v>15000</v>
      </c>
      <c r="H22" s="9">
        <f t="shared" si="0"/>
        <v>450000</v>
      </c>
      <c r="I22" s="9" t="s">
        <v>34</v>
      </c>
      <c r="K22" s="40">
        <v>1.2</v>
      </c>
      <c r="L22" s="42">
        <f t="shared" si="1"/>
        <v>18000</v>
      </c>
      <c r="M22" s="44">
        <f t="shared" si="2"/>
        <v>540000</v>
      </c>
      <c r="N22" s="65"/>
    </row>
    <row r="23" spans="1:14" s="1" customFormat="1" ht="28.5">
      <c r="A23" s="35">
        <v>8</v>
      </c>
      <c r="B23" s="35" t="s">
        <v>6</v>
      </c>
      <c r="C23" s="12" t="s">
        <v>24</v>
      </c>
      <c r="D23" s="6" t="s">
        <v>1</v>
      </c>
      <c r="E23" s="6" t="s">
        <v>8</v>
      </c>
      <c r="F23" s="8">
        <v>1</v>
      </c>
      <c r="G23" s="9">
        <v>500000</v>
      </c>
      <c r="H23" s="9">
        <f t="shared" si="0"/>
        <v>500000</v>
      </c>
      <c r="I23" s="9"/>
      <c r="K23" s="40">
        <v>1.2</v>
      </c>
      <c r="L23" s="42">
        <f t="shared" si="1"/>
        <v>600000</v>
      </c>
      <c r="M23" s="44">
        <f t="shared" si="2"/>
        <v>600000</v>
      </c>
      <c r="N23" s="65"/>
    </row>
    <row r="24" spans="1:14" s="1" customFormat="1">
      <c r="A24" s="35"/>
      <c r="B24" s="36"/>
      <c r="C24" s="11" t="s">
        <v>38</v>
      </c>
      <c r="D24" s="6" t="s">
        <v>1</v>
      </c>
      <c r="E24" s="6" t="s">
        <v>8</v>
      </c>
      <c r="F24" s="8">
        <v>5.2</v>
      </c>
      <c r="G24" s="9">
        <v>1000000</v>
      </c>
      <c r="H24" s="9">
        <f t="shared" si="0"/>
        <v>5200000</v>
      </c>
      <c r="I24" s="9"/>
      <c r="K24" s="40">
        <v>1.2</v>
      </c>
      <c r="L24" s="42">
        <f t="shared" si="1"/>
        <v>1200000</v>
      </c>
      <c r="M24" s="44">
        <f t="shared" si="2"/>
        <v>6240000</v>
      </c>
      <c r="N24" s="65"/>
    </row>
    <row r="25" spans="1:14" s="1" customFormat="1" ht="93.75" customHeight="1">
      <c r="A25" s="36" t="s">
        <v>39</v>
      </c>
      <c r="B25" s="36"/>
      <c r="C25" s="36"/>
      <c r="D25" s="36"/>
      <c r="E25" s="36"/>
      <c r="F25" s="13"/>
      <c r="G25" s="13"/>
      <c r="H25" s="14">
        <f>SUM(H2:H24)</f>
        <v>55060888.888888888</v>
      </c>
      <c r="I25" s="10"/>
      <c r="K25" s="40"/>
      <c r="L25" s="94"/>
      <c r="M25" s="94">
        <f>SUM(M2:M24)</f>
        <v>112910288.8888889</v>
      </c>
    </row>
    <row r="26" spans="1:14">
      <c r="H26" s="19"/>
    </row>
  </sheetData>
  <mergeCells count="11">
    <mergeCell ref="A14:A18"/>
    <mergeCell ref="B14:B18"/>
    <mergeCell ref="A25:E25"/>
    <mergeCell ref="B20:B22"/>
    <mergeCell ref="B23:B24"/>
    <mergeCell ref="A23:A24"/>
    <mergeCell ref="A20:A22"/>
    <mergeCell ref="A4:A6"/>
    <mergeCell ref="B4:B6"/>
    <mergeCell ref="A7:A13"/>
    <mergeCell ref="B7:B13"/>
  </mergeCells>
  <phoneticPr fontId="7" type="noConversion"/>
  <printOptions horizontalCentered="1" verticalCentered="1"/>
  <pageMargins left="0.25" right="0.25" top="0.22" bottom="0.25" header="0.2" footer="0.2"/>
  <pageSetup paperSize="9" scale="4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B292D-EE61-4E49-B016-6846DBF473D2}">
  <sheetPr>
    <tabColor rgb="FF00B050"/>
  </sheetPr>
  <dimension ref="A1:L26"/>
  <sheetViews>
    <sheetView zoomScale="80" zoomScaleNormal="80" workbookViewId="0">
      <pane ySplit="1" topLeftCell="A11" activePane="bottomLeft" state="frozen"/>
      <selection pane="bottomLeft" activeCell="L26" sqref="L26"/>
    </sheetView>
  </sheetViews>
  <sheetFormatPr defaultColWidth="15.7109375" defaultRowHeight="20.25"/>
  <cols>
    <col min="1" max="1" width="4.7109375" style="2" bestFit="1" customWidth="1"/>
    <col min="2" max="2" width="16.42578125" style="3" customWidth="1"/>
    <col min="3" max="3" width="49.85546875" style="2" customWidth="1"/>
    <col min="4" max="4" width="16.28515625" style="4" customWidth="1"/>
    <col min="5" max="5" width="11.140625" style="4" customWidth="1"/>
    <col min="6" max="6" width="16.42578125" style="4" customWidth="1"/>
    <col min="7" max="8" width="16.42578125" style="4" hidden="1" customWidth="1"/>
    <col min="9" max="9" width="12.85546875" style="5" hidden="1" customWidth="1"/>
    <col min="10" max="10" width="0" style="2" hidden="1" customWidth="1"/>
    <col min="11" max="11" width="18.28515625" style="5" customWidth="1"/>
    <col min="12" max="12" width="19.28515625" style="5" customWidth="1"/>
    <col min="13" max="16384" width="15.7109375" style="2"/>
  </cols>
  <sheetData>
    <row r="1" spans="1:12" s="1" customFormat="1" ht="37.35" customHeight="1">
      <c r="A1" s="17" t="s">
        <v>46</v>
      </c>
      <c r="B1" s="18" t="s">
        <v>45</v>
      </c>
      <c r="C1" s="18" t="s">
        <v>49</v>
      </c>
      <c r="D1" s="17" t="s">
        <v>44</v>
      </c>
      <c r="E1" s="17" t="s">
        <v>43</v>
      </c>
      <c r="F1" s="7" t="s">
        <v>42</v>
      </c>
      <c r="G1" s="15" t="s">
        <v>48</v>
      </c>
      <c r="H1" s="7" t="s">
        <v>40</v>
      </c>
      <c r="I1" s="16" t="s">
        <v>41</v>
      </c>
      <c r="K1" s="45" t="s">
        <v>103</v>
      </c>
      <c r="L1" s="45" t="s">
        <v>104</v>
      </c>
    </row>
    <row r="2" spans="1:12" s="1" customFormat="1" ht="90.95" customHeight="1">
      <c r="A2" s="6">
        <v>1</v>
      </c>
      <c r="B2" s="6" t="s">
        <v>9</v>
      </c>
      <c r="C2" s="22" t="s">
        <v>59</v>
      </c>
      <c r="D2" s="23" t="s">
        <v>53</v>
      </c>
      <c r="E2" s="21" t="s">
        <v>12</v>
      </c>
      <c r="F2" s="24">
        <v>10</v>
      </c>
      <c r="G2" s="9">
        <v>2277777.7777777798</v>
      </c>
      <c r="H2" s="9">
        <f>F2*G2</f>
        <v>22777777.777777798</v>
      </c>
      <c r="I2" s="9" t="s">
        <v>16</v>
      </c>
      <c r="J2" s="40">
        <v>1.18</v>
      </c>
      <c r="K2" s="46">
        <f>G2*J2</f>
        <v>2687777.7777777798</v>
      </c>
      <c r="L2" s="47">
        <f>K2*F2</f>
        <v>26877777.777777798</v>
      </c>
    </row>
    <row r="3" spans="1:12" s="1" customFormat="1" ht="96.95" customHeight="1">
      <c r="A3" s="6">
        <v>2</v>
      </c>
      <c r="B3" s="6" t="s">
        <v>18</v>
      </c>
      <c r="C3" s="22" t="s">
        <v>55</v>
      </c>
      <c r="D3" s="21" t="s">
        <v>56</v>
      </c>
      <c r="E3" s="24" t="s">
        <v>8</v>
      </c>
      <c r="F3" s="24">
        <v>1</v>
      </c>
      <c r="G3" s="25">
        <f>18000000/1.08</f>
        <v>16666666.666666666</v>
      </c>
      <c r="H3" s="9">
        <f t="shared" ref="H3:H24" si="0">F3*G3</f>
        <v>16666666.666666666</v>
      </c>
      <c r="I3" s="9" t="s">
        <v>17</v>
      </c>
      <c r="J3" s="40">
        <v>1.2</v>
      </c>
      <c r="K3" s="48">
        <f t="shared" ref="K3:K25" si="1">G3*J3</f>
        <v>20000000</v>
      </c>
      <c r="L3" s="49">
        <f t="shared" ref="L3:L25" si="2">K3*F3</f>
        <v>20000000</v>
      </c>
    </row>
    <row r="4" spans="1:12" s="1" customFormat="1" ht="71.45" customHeight="1">
      <c r="A4" s="35">
        <v>3</v>
      </c>
      <c r="B4" s="35" t="s">
        <v>10</v>
      </c>
      <c r="C4" s="22" t="s">
        <v>60</v>
      </c>
      <c r="D4" s="21" t="s">
        <v>58</v>
      </c>
      <c r="E4" s="24" t="s">
        <v>8</v>
      </c>
      <c r="F4" s="24">
        <v>1</v>
      </c>
      <c r="G4" s="25">
        <f>43218000/1.08</f>
        <v>40016666.666666664</v>
      </c>
      <c r="H4" s="9"/>
      <c r="I4" s="9" t="s">
        <v>17</v>
      </c>
      <c r="J4" s="40">
        <v>1.18</v>
      </c>
      <c r="K4" s="48">
        <f t="shared" si="1"/>
        <v>47219666.666666664</v>
      </c>
      <c r="L4" s="49">
        <f t="shared" si="2"/>
        <v>47219666.666666664</v>
      </c>
    </row>
    <row r="5" spans="1:12" s="1" customFormat="1" ht="26.45" customHeight="1">
      <c r="A5" s="35"/>
      <c r="B5" s="35"/>
      <c r="C5" s="10" t="s">
        <v>27</v>
      </c>
      <c r="D5" s="6" t="s">
        <v>1</v>
      </c>
      <c r="E5" s="6" t="s">
        <v>8</v>
      </c>
      <c r="F5" s="8">
        <v>1</v>
      </c>
      <c r="G5" s="9">
        <v>800000</v>
      </c>
      <c r="H5" s="9">
        <f t="shared" si="0"/>
        <v>800000</v>
      </c>
      <c r="I5" s="9" t="s">
        <v>17</v>
      </c>
      <c r="J5" s="40">
        <v>1.18</v>
      </c>
      <c r="K5" s="48">
        <f t="shared" si="1"/>
        <v>944000</v>
      </c>
      <c r="L5" s="49">
        <f t="shared" si="2"/>
        <v>944000</v>
      </c>
    </row>
    <row r="6" spans="1:12" s="1" customFormat="1" ht="26.45" customHeight="1">
      <c r="A6" s="35"/>
      <c r="B6" s="35"/>
      <c r="C6" s="10" t="s">
        <v>28</v>
      </c>
      <c r="D6" s="6" t="s">
        <v>4</v>
      </c>
      <c r="E6" s="6" t="s">
        <v>8</v>
      </c>
      <c r="F6" s="8">
        <v>1</v>
      </c>
      <c r="G6" s="9">
        <v>100000</v>
      </c>
      <c r="H6" s="9">
        <f t="shared" si="0"/>
        <v>100000</v>
      </c>
      <c r="I6" s="9" t="s">
        <v>17</v>
      </c>
      <c r="J6" s="40">
        <v>1.18</v>
      </c>
      <c r="K6" s="48">
        <f t="shared" si="1"/>
        <v>118000</v>
      </c>
      <c r="L6" s="49">
        <f t="shared" si="2"/>
        <v>118000</v>
      </c>
    </row>
    <row r="7" spans="1:12" s="1" customFormat="1">
      <c r="A7" s="35">
        <v>4</v>
      </c>
      <c r="B7" s="35" t="s">
        <v>2</v>
      </c>
      <c r="C7" s="11" t="s">
        <v>0</v>
      </c>
      <c r="D7" s="6" t="s">
        <v>4</v>
      </c>
      <c r="E7" s="6" t="s">
        <v>7</v>
      </c>
      <c r="F7" s="8">
        <v>16</v>
      </c>
      <c r="G7" s="9">
        <v>11000</v>
      </c>
      <c r="H7" s="9">
        <f t="shared" si="0"/>
        <v>176000</v>
      </c>
      <c r="I7" s="9" t="s">
        <v>17</v>
      </c>
      <c r="J7" s="40">
        <v>1.2</v>
      </c>
      <c r="K7" s="48">
        <f t="shared" si="1"/>
        <v>13200</v>
      </c>
      <c r="L7" s="49">
        <f t="shared" si="2"/>
        <v>211200</v>
      </c>
    </row>
    <row r="8" spans="1:12" s="1" customFormat="1">
      <c r="A8" s="35"/>
      <c r="B8" s="35"/>
      <c r="C8" s="11" t="s">
        <v>11</v>
      </c>
      <c r="D8" s="6" t="s">
        <v>4</v>
      </c>
      <c r="E8" s="6" t="s">
        <v>7</v>
      </c>
      <c r="F8" s="8">
        <v>16</v>
      </c>
      <c r="G8" s="9">
        <v>11000</v>
      </c>
      <c r="H8" s="9">
        <f t="shared" si="0"/>
        <v>176000</v>
      </c>
      <c r="I8" s="9" t="s">
        <v>17</v>
      </c>
      <c r="J8" s="40">
        <v>1.2</v>
      </c>
      <c r="K8" s="48">
        <f t="shared" si="1"/>
        <v>13200</v>
      </c>
      <c r="L8" s="49">
        <f t="shared" si="2"/>
        <v>211200</v>
      </c>
    </row>
    <row r="9" spans="1:12" s="1" customFormat="1">
      <c r="A9" s="35"/>
      <c r="B9" s="35"/>
      <c r="C9" s="11" t="s">
        <v>29</v>
      </c>
      <c r="D9" s="6" t="s">
        <v>4</v>
      </c>
      <c r="E9" s="6" t="s">
        <v>7</v>
      </c>
      <c r="F9" s="8">
        <v>8</v>
      </c>
      <c r="G9" s="9">
        <v>360000</v>
      </c>
      <c r="H9" s="9">
        <f t="shared" si="0"/>
        <v>2880000</v>
      </c>
      <c r="I9" s="9" t="s">
        <v>17</v>
      </c>
      <c r="J9" s="40">
        <v>1.2</v>
      </c>
      <c r="K9" s="48">
        <f t="shared" si="1"/>
        <v>432000</v>
      </c>
      <c r="L9" s="49">
        <f t="shared" si="2"/>
        <v>3456000</v>
      </c>
    </row>
    <row r="10" spans="1:12" s="1" customFormat="1">
      <c r="A10" s="35"/>
      <c r="B10" s="35"/>
      <c r="C10" s="11" t="s">
        <v>20</v>
      </c>
      <c r="D10" s="6" t="s">
        <v>4</v>
      </c>
      <c r="E10" s="6" t="s">
        <v>7</v>
      </c>
      <c r="F10" s="8">
        <v>8</v>
      </c>
      <c r="G10" s="9">
        <v>20000</v>
      </c>
      <c r="H10" s="9">
        <f t="shared" si="0"/>
        <v>160000</v>
      </c>
      <c r="I10" s="9" t="s">
        <v>17</v>
      </c>
      <c r="J10" s="40">
        <v>1.2</v>
      </c>
      <c r="K10" s="48">
        <f t="shared" si="1"/>
        <v>24000</v>
      </c>
      <c r="L10" s="49">
        <f t="shared" si="2"/>
        <v>192000</v>
      </c>
    </row>
    <row r="11" spans="1:12" s="1" customFormat="1">
      <c r="A11" s="35"/>
      <c r="B11" s="35"/>
      <c r="C11" s="11" t="s">
        <v>21</v>
      </c>
      <c r="D11" s="6" t="s">
        <v>4</v>
      </c>
      <c r="E11" s="6" t="s">
        <v>7</v>
      </c>
      <c r="F11" s="8">
        <v>32</v>
      </c>
      <c r="G11" s="9">
        <v>20000</v>
      </c>
      <c r="H11" s="9">
        <f t="shared" si="0"/>
        <v>640000</v>
      </c>
      <c r="I11" s="9" t="s">
        <v>17</v>
      </c>
      <c r="J11" s="40">
        <v>1.2</v>
      </c>
      <c r="K11" s="48">
        <f t="shared" si="1"/>
        <v>24000</v>
      </c>
      <c r="L11" s="49">
        <f t="shared" si="2"/>
        <v>768000</v>
      </c>
    </row>
    <row r="12" spans="1:12" s="1" customFormat="1">
      <c r="A12" s="35"/>
      <c r="B12" s="35"/>
      <c r="C12" s="11" t="s">
        <v>25</v>
      </c>
      <c r="D12" s="6" t="s">
        <v>4</v>
      </c>
      <c r="E12" s="6" t="s">
        <v>7</v>
      </c>
      <c r="F12" s="8">
        <v>4</v>
      </c>
      <c r="G12" s="9">
        <v>20000</v>
      </c>
      <c r="H12" s="9">
        <f t="shared" si="0"/>
        <v>80000</v>
      </c>
      <c r="I12" s="9" t="s">
        <v>17</v>
      </c>
      <c r="J12" s="40">
        <v>1.2</v>
      </c>
      <c r="K12" s="48">
        <f t="shared" si="1"/>
        <v>24000</v>
      </c>
      <c r="L12" s="49">
        <f t="shared" si="2"/>
        <v>96000</v>
      </c>
    </row>
    <row r="13" spans="1:12" s="1" customFormat="1">
      <c r="A13" s="35"/>
      <c r="B13" s="35"/>
      <c r="C13" s="11" t="s">
        <v>26</v>
      </c>
      <c r="D13" s="6" t="s">
        <v>4</v>
      </c>
      <c r="E13" s="6" t="s">
        <v>7</v>
      </c>
      <c r="F13" s="8">
        <f>F8</f>
        <v>16</v>
      </c>
      <c r="G13" s="9">
        <v>2000</v>
      </c>
      <c r="H13" s="9">
        <f t="shared" si="0"/>
        <v>32000</v>
      </c>
      <c r="I13" s="9" t="s">
        <v>17</v>
      </c>
      <c r="J13" s="40">
        <v>1.2</v>
      </c>
      <c r="K13" s="48">
        <f t="shared" si="1"/>
        <v>2400</v>
      </c>
      <c r="L13" s="49">
        <f t="shared" si="2"/>
        <v>38400</v>
      </c>
    </row>
    <row r="14" spans="1:12" s="1" customFormat="1" ht="33.6" customHeight="1">
      <c r="A14" s="35">
        <v>5</v>
      </c>
      <c r="B14" s="35" t="s">
        <v>3</v>
      </c>
      <c r="C14" s="10" t="s">
        <v>22</v>
      </c>
      <c r="D14" s="6" t="s">
        <v>30</v>
      </c>
      <c r="E14" s="6" t="s">
        <v>14</v>
      </c>
      <c r="F14" s="8">
        <v>80</v>
      </c>
      <c r="G14" s="9">
        <v>20000</v>
      </c>
      <c r="H14" s="9">
        <f t="shared" si="0"/>
        <v>1600000</v>
      </c>
      <c r="I14" s="9" t="s">
        <v>17</v>
      </c>
      <c r="J14" s="40">
        <v>1.2</v>
      </c>
      <c r="K14" s="48">
        <f t="shared" si="1"/>
        <v>24000</v>
      </c>
      <c r="L14" s="49">
        <f t="shared" si="2"/>
        <v>1920000</v>
      </c>
    </row>
    <row r="15" spans="1:12" s="1" customFormat="1" ht="32.450000000000003" customHeight="1">
      <c r="A15" s="35"/>
      <c r="B15" s="35"/>
      <c r="C15" s="10" t="s">
        <v>23</v>
      </c>
      <c r="D15" s="6" t="s">
        <v>30</v>
      </c>
      <c r="E15" s="6" t="s">
        <v>14</v>
      </c>
      <c r="F15" s="8">
        <v>80</v>
      </c>
      <c r="G15" s="9">
        <v>20000</v>
      </c>
      <c r="H15" s="9">
        <f t="shared" si="0"/>
        <v>1600000</v>
      </c>
      <c r="I15" s="9" t="s">
        <v>17</v>
      </c>
      <c r="J15" s="40">
        <v>1.2</v>
      </c>
      <c r="K15" s="48">
        <f t="shared" si="1"/>
        <v>24000</v>
      </c>
      <c r="L15" s="49">
        <f t="shared" si="2"/>
        <v>1920000</v>
      </c>
    </row>
    <row r="16" spans="1:12" s="1" customFormat="1" ht="28.5">
      <c r="A16" s="35"/>
      <c r="B16" s="35"/>
      <c r="C16" s="11" t="s">
        <v>31</v>
      </c>
      <c r="D16" s="6" t="s">
        <v>32</v>
      </c>
      <c r="E16" s="6" t="s">
        <v>14</v>
      </c>
      <c r="F16" s="8">
        <v>20</v>
      </c>
      <c r="G16" s="9">
        <v>40000</v>
      </c>
      <c r="H16" s="9">
        <f t="shared" si="0"/>
        <v>800000</v>
      </c>
      <c r="I16" s="9" t="s">
        <v>17</v>
      </c>
      <c r="J16" s="40">
        <v>1.2</v>
      </c>
      <c r="K16" s="48">
        <f t="shared" si="1"/>
        <v>48000</v>
      </c>
      <c r="L16" s="49">
        <f t="shared" si="2"/>
        <v>960000</v>
      </c>
    </row>
    <row r="17" spans="1:12" s="1" customFormat="1" ht="36" customHeight="1">
      <c r="A17" s="35"/>
      <c r="B17" s="35"/>
      <c r="C17" s="10" t="s">
        <v>47</v>
      </c>
      <c r="D17" s="6" t="s">
        <v>4</v>
      </c>
      <c r="E17" s="6" t="s">
        <v>8</v>
      </c>
      <c r="F17" s="8">
        <v>1</v>
      </c>
      <c r="G17" s="9">
        <v>300000</v>
      </c>
      <c r="H17" s="9">
        <f t="shared" si="0"/>
        <v>300000</v>
      </c>
      <c r="I17" s="9" t="s">
        <v>17</v>
      </c>
      <c r="J17" s="40">
        <v>1.2</v>
      </c>
      <c r="K17" s="48">
        <f t="shared" si="1"/>
        <v>360000</v>
      </c>
      <c r="L17" s="49">
        <f t="shared" si="2"/>
        <v>360000</v>
      </c>
    </row>
    <row r="18" spans="1:12" s="1" customFormat="1" ht="28.5">
      <c r="A18" s="35"/>
      <c r="B18" s="35"/>
      <c r="C18" s="10" t="s">
        <v>13</v>
      </c>
      <c r="D18" s="6" t="s">
        <v>30</v>
      </c>
      <c r="E18" s="6" t="s">
        <v>8</v>
      </c>
      <c r="F18" s="8">
        <v>8</v>
      </c>
      <c r="G18" s="9">
        <v>30000</v>
      </c>
      <c r="H18" s="9">
        <f t="shared" si="0"/>
        <v>240000</v>
      </c>
      <c r="I18" s="9" t="s">
        <v>17</v>
      </c>
      <c r="J18" s="40">
        <v>1.2</v>
      </c>
      <c r="K18" s="48">
        <f t="shared" si="1"/>
        <v>36000</v>
      </c>
      <c r="L18" s="49">
        <f t="shared" si="2"/>
        <v>288000</v>
      </c>
    </row>
    <row r="19" spans="1:12" s="1" customFormat="1" ht="119.45" customHeight="1">
      <c r="A19" s="6">
        <v>6</v>
      </c>
      <c r="B19" s="26" t="s">
        <v>15</v>
      </c>
      <c r="C19" s="27" t="s">
        <v>94</v>
      </c>
      <c r="D19" s="30" t="s">
        <v>95</v>
      </c>
      <c r="E19" s="26" t="s">
        <v>8</v>
      </c>
      <c r="F19" s="24">
        <v>1</v>
      </c>
      <c r="G19" s="25">
        <v>5500000</v>
      </c>
      <c r="H19" s="25">
        <f>F19*G19</f>
        <v>5500000</v>
      </c>
      <c r="I19" s="25" t="s">
        <v>34</v>
      </c>
      <c r="J19" s="40">
        <v>1.2</v>
      </c>
      <c r="K19" s="48">
        <f t="shared" si="1"/>
        <v>6600000</v>
      </c>
      <c r="L19" s="49">
        <f t="shared" si="2"/>
        <v>6600000</v>
      </c>
    </row>
    <row r="20" spans="1:12" s="1" customFormat="1">
      <c r="A20" s="35">
        <v>7</v>
      </c>
      <c r="B20" s="37" t="s">
        <v>5</v>
      </c>
      <c r="C20" s="10" t="s">
        <v>35</v>
      </c>
      <c r="D20" s="6" t="s">
        <v>36</v>
      </c>
      <c r="E20" s="6" t="s">
        <v>14</v>
      </c>
      <c r="F20" s="8">
        <v>30</v>
      </c>
      <c r="G20" s="9">
        <v>15000</v>
      </c>
      <c r="H20" s="9">
        <f t="shared" si="0"/>
        <v>450000</v>
      </c>
      <c r="I20" s="9" t="s">
        <v>34</v>
      </c>
      <c r="J20" s="40">
        <v>1.2</v>
      </c>
      <c r="K20" s="48">
        <f t="shared" si="1"/>
        <v>18000</v>
      </c>
      <c r="L20" s="49">
        <f t="shared" si="2"/>
        <v>540000</v>
      </c>
    </row>
    <row r="21" spans="1:12" s="1" customFormat="1">
      <c r="A21" s="35"/>
      <c r="B21" s="37"/>
      <c r="C21" s="10" t="s">
        <v>37</v>
      </c>
      <c r="D21" s="6" t="s">
        <v>4</v>
      </c>
      <c r="E21" s="6" t="s">
        <v>7</v>
      </c>
      <c r="F21" s="8">
        <v>1</v>
      </c>
      <c r="G21" s="9">
        <v>250000</v>
      </c>
      <c r="H21" s="9">
        <f t="shared" si="0"/>
        <v>250000</v>
      </c>
      <c r="I21" s="9" t="s">
        <v>34</v>
      </c>
      <c r="J21" s="40">
        <v>1.2</v>
      </c>
      <c r="K21" s="48">
        <f t="shared" si="1"/>
        <v>300000</v>
      </c>
      <c r="L21" s="49">
        <f t="shared" si="2"/>
        <v>300000</v>
      </c>
    </row>
    <row r="22" spans="1:12" s="1" customFormat="1">
      <c r="A22" s="35"/>
      <c r="B22" s="37"/>
      <c r="C22" s="12" t="s">
        <v>19</v>
      </c>
      <c r="D22" s="6" t="s">
        <v>4</v>
      </c>
      <c r="E22" s="6" t="s">
        <v>14</v>
      </c>
      <c r="F22" s="8">
        <v>30</v>
      </c>
      <c r="G22" s="9">
        <v>15000</v>
      </c>
      <c r="H22" s="9">
        <f t="shared" si="0"/>
        <v>450000</v>
      </c>
      <c r="I22" s="9" t="s">
        <v>34</v>
      </c>
      <c r="J22" s="40">
        <v>1.2</v>
      </c>
      <c r="K22" s="48">
        <f t="shared" si="1"/>
        <v>18000</v>
      </c>
      <c r="L22" s="49">
        <f t="shared" si="2"/>
        <v>540000</v>
      </c>
    </row>
    <row r="23" spans="1:12" s="1" customFormat="1" ht="28.5">
      <c r="A23" s="35">
        <v>8</v>
      </c>
      <c r="B23" s="35" t="s">
        <v>6</v>
      </c>
      <c r="C23" s="12" t="s">
        <v>24</v>
      </c>
      <c r="D23" s="6" t="s">
        <v>1</v>
      </c>
      <c r="E23" s="6" t="s">
        <v>8</v>
      </c>
      <c r="F23" s="8">
        <v>1</v>
      </c>
      <c r="G23" s="9">
        <v>1000000</v>
      </c>
      <c r="H23" s="9">
        <f t="shared" si="0"/>
        <v>1000000</v>
      </c>
      <c r="I23" s="9"/>
      <c r="J23" s="40">
        <v>1.2</v>
      </c>
      <c r="K23" s="48">
        <f t="shared" si="1"/>
        <v>1200000</v>
      </c>
      <c r="L23" s="49">
        <f t="shared" si="2"/>
        <v>1200000</v>
      </c>
    </row>
    <row r="24" spans="1:12" s="1" customFormat="1">
      <c r="A24" s="35"/>
      <c r="B24" s="36"/>
      <c r="C24" s="11" t="s">
        <v>38</v>
      </c>
      <c r="D24" s="6" t="s">
        <v>1</v>
      </c>
      <c r="E24" s="6" t="s">
        <v>8</v>
      </c>
      <c r="F24" s="31">
        <v>6.5</v>
      </c>
      <c r="G24" s="9">
        <v>1000000</v>
      </c>
      <c r="H24" s="9">
        <f t="shared" si="0"/>
        <v>6500000</v>
      </c>
      <c r="I24" s="9"/>
      <c r="J24" s="40">
        <v>1.2</v>
      </c>
      <c r="K24" s="48">
        <f t="shared" si="1"/>
        <v>1200000</v>
      </c>
      <c r="L24" s="49">
        <f t="shared" si="2"/>
        <v>7800000</v>
      </c>
    </row>
    <row r="25" spans="1:12" s="1" customFormat="1" ht="25.7" customHeight="1">
      <c r="A25" s="36" t="s">
        <v>39</v>
      </c>
      <c r="B25" s="36"/>
      <c r="C25" s="36"/>
      <c r="D25" s="36"/>
      <c r="E25" s="36"/>
      <c r="F25" s="13"/>
      <c r="G25" s="13"/>
      <c r="H25" s="14">
        <f>SUM(H2:H24)</f>
        <v>63178444.444444463</v>
      </c>
      <c r="I25" s="10"/>
      <c r="J25" s="40"/>
      <c r="K25" s="50">
        <f t="shared" si="1"/>
        <v>0</v>
      </c>
      <c r="L25" s="51">
        <f>SUM(L2:L24)</f>
        <v>122560244.44444446</v>
      </c>
    </row>
    <row r="26" spans="1:12" ht="27.6" customHeight="1"/>
  </sheetData>
  <mergeCells count="11">
    <mergeCell ref="A4:A6"/>
    <mergeCell ref="B4:B6"/>
    <mergeCell ref="A25:E25"/>
    <mergeCell ref="A20:A22"/>
    <mergeCell ref="B20:B22"/>
    <mergeCell ref="A7:A13"/>
    <mergeCell ref="B7:B13"/>
    <mergeCell ref="A14:A18"/>
    <mergeCell ref="B14:B18"/>
    <mergeCell ref="A23:A24"/>
    <mergeCell ref="B23:B24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4EA60-4AFA-49AF-A623-D2D59D1F9DDF}">
  <sheetPr>
    <tabColor rgb="FF00B050"/>
  </sheetPr>
  <dimension ref="A1:AF26"/>
  <sheetViews>
    <sheetView zoomScale="80" zoomScaleNormal="80" workbookViewId="0">
      <pane ySplit="1" topLeftCell="A2" activePane="bottomLeft" state="frozen"/>
      <selection pane="bottomLeft" activeCell="K3" sqref="K3"/>
    </sheetView>
  </sheetViews>
  <sheetFormatPr defaultColWidth="15.7109375" defaultRowHeight="20.25"/>
  <cols>
    <col min="1" max="1" width="4.7109375" style="2" bestFit="1" customWidth="1"/>
    <col min="2" max="2" width="16.42578125" style="3" customWidth="1"/>
    <col min="3" max="3" width="49.85546875" style="2" customWidth="1"/>
    <col min="4" max="4" width="14.42578125" style="4" customWidth="1"/>
    <col min="5" max="5" width="11.140625" style="4" customWidth="1"/>
    <col min="6" max="6" width="16.42578125" style="4" customWidth="1"/>
    <col min="7" max="8" width="16.42578125" style="4" hidden="1" customWidth="1"/>
    <col min="9" max="9" width="12.85546875" style="5" hidden="1" customWidth="1"/>
    <col min="10" max="10" width="0" style="2" hidden="1" customWidth="1"/>
    <col min="11" max="11" width="26.140625" style="5" customWidth="1"/>
    <col min="12" max="12" width="23.140625" style="5" bestFit="1" customWidth="1"/>
    <col min="13" max="16384" width="15.7109375" style="2"/>
  </cols>
  <sheetData>
    <row r="1" spans="1:32" s="1" customFormat="1" ht="37.35" customHeight="1">
      <c r="A1" s="17" t="s">
        <v>46</v>
      </c>
      <c r="B1" s="18" t="s">
        <v>45</v>
      </c>
      <c r="C1" s="18" t="s">
        <v>49</v>
      </c>
      <c r="D1" s="17" t="s">
        <v>44</v>
      </c>
      <c r="E1" s="17" t="s">
        <v>43</v>
      </c>
      <c r="F1" s="7" t="s">
        <v>42</v>
      </c>
      <c r="G1" s="15" t="s">
        <v>48</v>
      </c>
      <c r="H1" s="7" t="s">
        <v>40</v>
      </c>
      <c r="I1" s="16" t="s">
        <v>41</v>
      </c>
      <c r="K1" s="45" t="s">
        <v>103</v>
      </c>
      <c r="L1" s="45" t="s">
        <v>104</v>
      </c>
      <c r="U1" s="28">
        <v>1</v>
      </c>
      <c r="V1" s="28" t="s">
        <v>61</v>
      </c>
      <c r="W1" s="28" t="s">
        <v>62</v>
      </c>
      <c r="X1" s="28"/>
      <c r="Y1" s="28" t="s">
        <v>78</v>
      </c>
      <c r="Z1" s="28"/>
      <c r="AA1" s="28"/>
      <c r="AB1" s="28"/>
      <c r="AC1" s="28"/>
      <c r="AD1" s="28"/>
      <c r="AE1" s="28"/>
      <c r="AF1" s="28"/>
    </row>
    <row r="2" spans="1:32" s="1" customFormat="1" ht="90.95" customHeight="1">
      <c r="A2" s="6">
        <v>1</v>
      </c>
      <c r="B2" s="6" t="s">
        <v>9</v>
      </c>
      <c r="C2" s="22" t="s">
        <v>59</v>
      </c>
      <c r="D2" s="23" t="s">
        <v>53</v>
      </c>
      <c r="E2" s="26" t="s">
        <v>12</v>
      </c>
      <c r="F2" s="8">
        <v>12</v>
      </c>
      <c r="G2" s="9">
        <f>2380000/1.08</f>
        <v>2203703.7037037034</v>
      </c>
      <c r="H2" s="9">
        <f>F2*G2</f>
        <v>26444444.44444444</v>
      </c>
      <c r="I2" s="9" t="s">
        <v>54</v>
      </c>
      <c r="J2" s="1">
        <v>1.18</v>
      </c>
      <c r="K2" s="53">
        <f>G2*J2</f>
        <v>2600370.3703703699</v>
      </c>
      <c r="L2" s="54">
        <f>K2*F2</f>
        <v>31204444.44444444</v>
      </c>
      <c r="M2" s="34"/>
      <c r="U2" s="28"/>
      <c r="V2" s="28" t="s">
        <v>63</v>
      </c>
      <c r="W2" s="28" t="s">
        <v>64</v>
      </c>
      <c r="X2" s="28"/>
      <c r="Y2" s="28" t="s">
        <v>79</v>
      </c>
      <c r="Z2" s="28"/>
      <c r="AA2" s="28"/>
      <c r="AB2" s="28"/>
      <c r="AC2" s="28"/>
      <c r="AD2" s="28"/>
      <c r="AE2" s="28"/>
      <c r="AF2" s="28"/>
    </row>
    <row r="3" spans="1:32" s="1" customFormat="1" ht="84.95" customHeight="1">
      <c r="A3" s="6">
        <v>2</v>
      </c>
      <c r="B3" s="6" t="s">
        <v>18</v>
      </c>
      <c r="C3" s="22" t="s">
        <v>55</v>
      </c>
      <c r="D3" s="26" t="s">
        <v>56</v>
      </c>
      <c r="E3" s="24" t="s">
        <v>8</v>
      </c>
      <c r="F3" s="24">
        <v>1</v>
      </c>
      <c r="G3" s="25">
        <f>18000000/1.08</f>
        <v>16666666.666666666</v>
      </c>
      <c r="H3" s="9">
        <f t="shared" ref="H3:H24" si="0">F3*G3</f>
        <v>16666666.666666666</v>
      </c>
      <c r="I3" s="9" t="s">
        <v>57</v>
      </c>
      <c r="J3" s="1">
        <v>1.2</v>
      </c>
      <c r="K3" s="53">
        <f t="shared" ref="K3:K24" si="1">G3*J3</f>
        <v>20000000</v>
      </c>
      <c r="L3" s="54">
        <f t="shared" ref="L3:L24" si="2">K3*F3</f>
        <v>20000000</v>
      </c>
      <c r="U3" s="28"/>
      <c r="V3" s="28" t="s">
        <v>65</v>
      </c>
      <c r="W3" s="28" t="s">
        <v>66</v>
      </c>
      <c r="X3" s="28"/>
      <c r="Y3" s="28" t="s">
        <v>80</v>
      </c>
      <c r="Z3" s="28"/>
      <c r="AA3" s="28"/>
      <c r="AB3" s="28"/>
      <c r="AC3" s="28"/>
      <c r="AD3" s="28"/>
      <c r="AE3" s="28"/>
      <c r="AF3" s="28"/>
    </row>
    <row r="4" spans="1:32" s="1" customFormat="1" ht="71.45" customHeight="1">
      <c r="A4" s="35">
        <v>3</v>
      </c>
      <c r="B4" s="35" t="s">
        <v>10</v>
      </c>
      <c r="C4" s="22" t="s">
        <v>60</v>
      </c>
      <c r="D4" s="26" t="s">
        <v>58</v>
      </c>
      <c r="E4" s="24" t="s">
        <v>8</v>
      </c>
      <c r="F4" s="24">
        <v>1</v>
      </c>
      <c r="G4" s="25">
        <f>43218000/1.08</f>
        <v>40016666.666666664</v>
      </c>
      <c r="H4" s="9"/>
      <c r="I4" s="9" t="s">
        <v>17</v>
      </c>
      <c r="J4" s="1">
        <v>1.18</v>
      </c>
      <c r="K4" s="53">
        <f t="shared" si="1"/>
        <v>47219666.666666664</v>
      </c>
      <c r="L4" s="54">
        <f t="shared" si="2"/>
        <v>47219666.666666664</v>
      </c>
      <c r="U4" s="28"/>
      <c r="V4" s="28"/>
      <c r="W4" s="28"/>
      <c r="X4" s="28"/>
      <c r="Y4" s="28" t="s">
        <v>81</v>
      </c>
      <c r="Z4" s="28"/>
      <c r="AA4" s="28"/>
      <c r="AB4" s="28" t="s">
        <v>82</v>
      </c>
      <c r="AC4" s="28"/>
      <c r="AD4" s="28"/>
      <c r="AE4" s="28"/>
      <c r="AF4" s="28"/>
    </row>
    <row r="5" spans="1:32" s="1" customFormat="1" ht="26.45" customHeight="1">
      <c r="A5" s="35"/>
      <c r="B5" s="35"/>
      <c r="C5" s="10" t="s">
        <v>27</v>
      </c>
      <c r="D5" s="6" t="s">
        <v>1</v>
      </c>
      <c r="E5" s="6" t="s">
        <v>8</v>
      </c>
      <c r="F5" s="8">
        <v>1</v>
      </c>
      <c r="G5" s="9">
        <v>800000</v>
      </c>
      <c r="H5" s="9">
        <f t="shared" si="0"/>
        <v>800000</v>
      </c>
      <c r="I5" s="9" t="s">
        <v>17</v>
      </c>
      <c r="J5" s="1">
        <v>1.18</v>
      </c>
      <c r="K5" s="53">
        <f t="shared" si="1"/>
        <v>944000</v>
      </c>
      <c r="L5" s="54">
        <f t="shared" si="2"/>
        <v>944000</v>
      </c>
      <c r="U5" s="28" t="s">
        <v>70</v>
      </c>
      <c r="V5" s="28" t="s">
        <v>74</v>
      </c>
      <c r="W5" s="28" t="s">
        <v>67</v>
      </c>
      <c r="X5" s="28"/>
      <c r="Y5" s="28" t="s">
        <v>83</v>
      </c>
      <c r="Z5" s="28"/>
      <c r="AA5" s="28"/>
      <c r="AB5" s="28" t="s">
        <v>84</v>
      </c>
      <c r="AC5" s="28"/>
      <c r="AD5" s="28"/>
      <c r="AE5" s="28"/>
      <c r="AF5" s="28"/>
    </row>
    <row r="6" spans="1:32" s="1" customFormat="1" ht="26.45" customHeight="1">
      <c r="A6" s="35"/>
      <c r="B6" s="35"/>
      <c r="C6" s="10" t="s">
        <v>28</v>
      </c>
      <c r="D6" s="6" t="s">
        <v>4</v>
      </c>
      <c r="E6" s="6" t="s">
        <v>8</v>
      </c>
      <c r="F6" s="8">
        <v>1</v>
      </c>
      <c r="G6" s="9">
        <v>100000</v>
      </c>
      <c r="H6" s="9">
        <f t="shared" si="0"/>
        <v>100000</v>
      </c>
      <c r="I6" s="9" t="s">
        <v>17</v>
      </c>
      <c r="J6" s="1">
        <v>1.18</v>
      </c>
      <c r="K6" s="53">
        <f t="shared" si="1"/>
        <v>118000</v>
      </c>
      <c r="L6" s="54">
        <f t="shared" si="2"/>
        <v>118000</v>
      </c>
      <c r="U6" s="28" t="s">
        <v>71</v>
      </c>
      <c r="V6" s="28" t="s">
        <v>75</v>
      </c>
      <c r="W6" s="28" t="s">
        <v>68</v>
      </c>
      <c r="X6" s="28"/>
      <c r="Y6" s="28"/>
      <c r="Z6" s="28"/>
      <c r="AA6" s="28"/>
      <c r="AB6" s="28"/>
      <c r="AC6" s="28"/>
      <c r="AD6" s="28"/>
      <c r="AE6" s="28"/>
      <c r="AF6" s="28"/>
    </row>
    <row r="7" spans="1:32" s="1" customFormat="1">
      <c r="A7" s="35">
        <v>4</v>
      </c>
      <c r="B7" s="35" t="s">
        <v>2</v>
      </c>
      <c r="C7" s="11" t="s">
        <v>0</v>
      </c>
      <c r="D7" s="6" t="s">
        <v>4</v>
      </c>
      <c r="E7" s="6" t="s">
        <v>7</v>
      </c>
      <c r="F7" s="8">
        <v>20</v>
      </c>
      <c r="G7" s="9">
        <v>11000</v>
      </c>
      <c r="H7" s="9">
        <f t="shared" si="0"/>
        <v>220000</v>
      </c>
      <c r="I7" s="9" t="s">
        <v>17</v>
      </c>
      <c r="J7" s="1">
        <v>1.2</v>
      </c>
      <c r="K7" s="53">
        <f>G7*J7</f>
        <v>13200</v>
      </c>
      <c r="L7" s="54">
        <f>K7*F7</f>
        <v>264000</v>
      </c>
      <c r="U7" s="28" t="s">
        <v>72</v>
      </c>
      <c r="V7" s="28" t="s">
        <v>76</v>
      </c>
      <c r="W7" s="28" t="s">
        <v>69</v>
      </c>
      <c r="X7" s="28"/>
      <c r="Y7" s="28" t="s">
        <v>85</v>
      </c>
      <c r="Z7" s="28"/>
      <c r="AA7" s="28"/>
      <c r="AB7" s="28" t="s">
        <v>87</v>
      </c>
      <c r="AC7" s="28"/>
      <c r="AD7" s="28"/>
      <c r="AE7" s="28">
        <f>6*4.2</f>
        <v>25.200000000000003</v>
      </c>
      <c r="AF7" s="28" t="s">
        <v>86</v>
      </c>
    </row>
    <row r="8" spans="1:32" s="1" customFormat="1">
      <c r="A8" s="35"/>
      <c r="B8" s="35"/>
      <c r="C8" s="11" t="s">
        <v>11</v>
      </c>
      <c r="D8" s="6" t="s">
        <v>4</v>
      </c>
      <c r="E8" s="6" t="s">
        <v>7</v>
      </c>
      <c r="F8" s="8">
        <v>32</v>
      </c>
      <c r="G8" s="9">
        <v>11000</v>
      </c>
      <c r="H8" s="9">
        <f t="shared" si="0"/>
        <v>352000</v>
      </c>
      <c r="I8" s="9" t="s">
        <v>17</v>
      </c>
      <c r="J8" s="1">
        <v>1.2</v>
      </c>
      <c r="K8" s="53">
        <f t="shared" si="1"/>
        <v>13200</v>
      </c>
      <c r="L8" s="54">
        <f t="shared" si="2"/>
        <v>422400</v>
      </c>
      <c r="U8" s="28" t="s">
        <v>73</v>
      </c>
      <c r="V8" s="28" t="s">
        <v>77</v>
      </c>
      <c r="W8" s="28" t="s">
        <v>71</v>
      </c>
      <c r="X8" s="28"/>
      <c r="Y8" s="28" t="s">
        <v>88</v>
      </c>
      <c r="Z8" s="28"/>
      <c r="AA8" s="28"/>
      <c r="AB8" s="28" t="s">
        <v>89</v>
      </c>
      <c r="AC8" s="28"/>
      <c r="AD8" s="28"/>
      <c r="AE8" s="28"/>
      <c r="AF8" s="28"/>
    </row>
    <row r="9" spans="1:32" s="1" customFormat="1">
      <c r="A9" s="35"/>
      <c r="B9" s="35"/>
      <c r="C9" s="11" t="s">
        <v>29</v>
      </c>
      <c r="D9" s="6" t="s">
        <v>4</v>
      </c>
      <c r="E9" s="6" t="s">
        <v>7</v>
      </c>
      <c r="F9" s="8">
        <v>12</v>
      </c>
      <c r="G9" s="9">
        <v>360000</v>
      </c>
      <c r="H9" s="9">
        <f t="shared" si="0"/>
        <v>4320000</v>
      </c>
      <c r="I9" s="9" t="s">
        <v>17</v>
      </c>
      <c r="J9" s="1">
        <v>1.2</v>
      </c>
      <c r="K9" s="53">
        <f t="shared" si="1"/>
        <v>432000</v>
      </c>
      <c r="L9" s="54">
        <f t="shared" si="2"/>
        <v>5184000</v>
      </c>
      <c r="U9" s="28"/>
      <c r="V9" s="28"/>
      <c r="W9" s="28"/>
      <c r="X9" s="28"/>
      <c r="Y9" s="28" t="s">
        <v>90</v>
      </c>
      <c r="Z9" s="28"/>
      <c r="AA9" s="28"/>
      <c r="AB9" s="28" t="s">
        <v>91</v>
      </c>
      <c r="AC9" s="28"/>
      <c r="AD9" s="28"/>
      <c r="AE9" s="28"/>
      <c r="AF9" s="28"/>
    </row>
    <row r="10" spans="1:32" s="1" customFormat="1">
      <c r="A10" s="35"/>
      <c r="B10" s="35"/>
      <c r="C10" s="11" t="s">
        <v>20</v>
      </c>
      <c r="D10" s="6" t="s">
        <v>4</v>
      </c>
      <c r="E10" s="6" t="s">
        <v>7</v>
      </c>
      <c r="F10" s="8">
        <v>12</v>
      </c>
      <c r="G10" s="9">
        <v>20000</v>
      </c>
      <c r="H10" s="9">
        <f t="shared" si="0"/>
        <v>240000</v>
      </c>
      <c r="I10" s="9" t="s">
        <v>17</v>
      </c>
      <c r="J10" s="1">
        <v>1.2</v>
      </c>
      <c r="K10" s="53">
        <f t="shared" si="1"/>
        <v>24000</v>
      </c>
      <c r="L10" s="54">
        <f t="shared" si="2"/>
        <v>288000</v>
      </c>
      <c r="W10" s="1">
        <v>12</v>
      </c>
      <c r="AB10" s="1">
        <f>12*30/10</f>
        <v>36</v>
      </c>
    </row>
    <row r="11" spans="1:32" s="1" customFormat="1">
      <c r="A11" s="35"/>
      <c r="B11" s="35"/>
      <c r="C11" s="11" t="s">
        <v>21</v>
      </c>
      <c r="D11" s="6" t="s">
        <v>4</v>
      </c>
      <c r="E11" s="6" t="s">
        <v>7</v>
      </c>
      <c r="F11" s="8">
        <v>36</v>
      </c>
      <c r="G11" s="9">
        <v>20000</v>
      </c>
      <c r="H11" s="9">
        <f t="shared" si="0"/>
        <v>720000</v>
      </c>
      <c r="I11" s="9" t="s">
        <v>17</v>
      </c>
      <c r="J11" s="1">
        <v>1.2</v>
      </c>
      <c r="K11" s="53">
        <f t="shared" si="1"/>
        <v>24000</v>
      </c>
      <c r="L11" s="54">
        <f t="shared" si="2"/>
        <v>864000</v>
      </c>
      <c r="W11" s="1">
        <v>3</v>
      </c>
    </row>
    <row r="12" spans="1:32" s="1" customFormat="1">
      <c r="A12" s="35"/>
      <c r="B12" s="35"/>
      <c r="C12" s="11" t="s">
        <v>25</v>
      </c>
      <c r="D12" s="6" t="s">
        <v>4</v>
      </c>
      <c r="E12" s="6" t="s">
        <v>7</v>
      </c>
      <c r="F12" s="8">
        <v>18</v>
      </c>
      <c r="G12" s="9">
        <v>20000</v>
      </c>
      <c r="H12" s="9">
        <f t="shared" si="0"/>
        <v>360000</v>
      </c>
      <c r="I12" s="9" t="s">
        <v>17</v>
      </c>
      <c r="J12" s="1">
        <v>1.2</v>
      </c>
      <c r="K12" s="53">
        <f t="shared" si="1"/>
        <v>24000</v>
      </c>
      <c r="L12" s="54">
        <f t="shared" si="2"/>
        <v>432000</v>
      </c>
      <c r="W12" s="1">
        <v>4</v>
      </c>
      <c r="X12" s="1">
        <f>4*12</f>
        <v>48</v>
      </c>
    </row>
    <row r="13" spans="1:32" s="1" customFormat="1">
      <c r="A13" s="35"/>
      <c r="B13" s="35"/>
      <c r="C13" s="11" t="s">
        <v>26</v>
      </c>
      <c r="D13" s="6" t="s">
        <v>4</v>
      </c>
      <c r="E13" s="6" t="s">
        <v>7</v>
      </c>
      <c r="F13" s="8">
        <v>20</v>
      </c>
      <c r="G13" s="9">
        <v>2000</v>
      </c>
      <c r="H13" s="9">
        <f t="shared" si="0"/>
        <v>40000</v>
      </c>
      <c r="I13" s="9" t="s">
        <v>17</v>
      </c>
      <c r="J13" s="1">
        <v>1.2</v>
      </c>
      <c r="K13" s="53">
        <f t="shared" si="1"/>
        <v>2400</v>
      </c>
      <c r="L13" s="54">
        <f t="shared" si="2"/>
        <v>48000</v>
      </c>
      <c r="X13" s="1">
        <f>X12/4.2</f>
        <v>11.428571428571429</v>
      </c>
    </row>
    <row r="14" spans="1:32" s="1" customFormat="1" ht="33.6" customHeight="1">
      <c r="A14" s="35">
        <v>5</v>
      </c>
      <c r="B14" s="35" t="s">
        <v>3</v>
      </c>
      <c r="C14" s="10" t="s">
        <v>22</v>
      </c>
      <c r="D14" s="6" t="s">
        <v>30</v>
      </c>
      <c r="E14" s="6" t="s">
        <v>14</v>
      </c>
      <c r="F14" s="8">
        <v>100</v>
      </c>
      <c r="G14" s="9">
        <v>20000</v>
      </c>
      <c r="H14" s="9">
        <f t="shared" si="0"/>
        <v>2000000</v>
      </c>
      <c r="I14" s="9" t="s">
        <v>17</v>
      </c>
      <c r="J14" s="1">
        <v>1.2</v>
      </c>
      <c r="K14" s="53">
        <f t="shared" si="1"/>
        <v>24000</v>
      </c>
      <c r="L14" s="54">
        <f t="shared" si="2"/>
        <v>2400000</v>
      </c>
      <c r="X14" s="1">
        <v>12</v>
      </c>
    </row>
    <row r="15" spans="1:32" s="1" customFormat="1" ht="32.450000000000003" customHeight="1">
      <c r="A15" s="35"/>
      <c r="B15" s="35"/>
      <c r="C15" s="10" t="s">
        <v>23</v>
      </c>
      <c r="D15" s="6" t="s">
        <v>30</v>
      </c>
      <c r="E15" s="6" t="s">
        <v>14</v>
      </c>
      <c r="F15" s="8">
        <v>100</v>
      </c>
      <c r="G15" s="9">
        <v>20000</v>
      </c>
      <c r="H15" s="9">
        <f t="shared" si="0"/>
        <v>2000000</v>
      </c>
      <c r="I15" s="9" t="s">
        <v>17</v>
      </c>
      <c r="J15" s="1">
        <v>1.2</v>
      </c>
      <c r="K15" s="53">
        <f t="shared" si="1"/>
        <v>24000</v>
      </c>
      <c r="L15" s="54">
        <f t="shared" si="2"/>
        <v>2400000</v>
      </c>
    </row>
    <row r="16" spans="1:32" s="1" customFormat="1" ht="42.75">
      <c r="A16" s="35"/>
      <c r="B16" s="35"/>
      <c r="C16" s="11" t="s">
        <v>52</v>
      </c>
      <c r="D16" s="6" t="s">
        <v>32</v>
      </c>
      <c r="E16" s="6" t="s">
        <v>14</v>
      </c>
      <c r="F16" s="8">
        <v>20</v>
      </c>
      <c r="G16" s="9">
        <v>80000</v>
      </c>
      <c r="H16" s="9">
        <f t="shared" si="0"/>
        <v>1600000</v>
      </c>
      <c r="I16" s="9" t="s">
        <v>17</v>
      </c>
      <c r="J16" s="1">
        <v>1.2</v>
      </c>
      <c r="K16" s="53">
        <f t="shared" si="1"/>
        <v>96000</v>
      </c>
      <c r="L16" s="54">
        <f t="shared" si="2"/>
        <v>1920000</v>
      </c>
    </row>
    <row r="17" spans="1:12" s="1" customFormat="1" ht="36" customHeight="1">
      <c r="A17" s="35"/>
      <c r="B17" s="35"/>
      <c r="C17" s="10" t="s">
        <v>47</v>
      </c>
      <c r="D17" s="6" t="s">
        <v>4</v>
      </c>
      <c r="E17" s="6" t="s">
        <v>8</v>
      </c>
      <c r="F17" s="8">
        <v>1</v>
      </c>
      <c r="G17" s="9">
        <v>300000</v>
      </c>
      <c r="H17" s="9">
        <f t="shared" si="0"/>
        <v>300000</v>
      </c>
      <c r="I17" s="9" t="s">
        <v>17</v>
      </c>
      <c r="J17" s="1">
        <v>1.2</v>
      </c>
      <c r="K17" s="53">
        <f t="shared" si="1"/>
        <v>360000</v>
      </c>
      <c r="L17" s="54">
        <f t="shared" si="2"/>
        <v>360000</v>
      </c>
    </row>
    <row r="18" spans="1:12" s="1" customFormat="1" ht="26.1" customHeight="1">
      <c r="A18" s="35"/>
      <c r="B18" s="35"/>
      <c r="C18" s="10" t="s">
        <v>13</v>
      </c>
      <c r="D18" s="6" t="s">
        <v>30</v>
      </c>
      <c r="E18" s="6" t="s">
        <v>8</v>
      </c>
      <c r="F18" s="8">
        <v>10</v>
      </c>
      <c r="G18" s="9">
        <v>30000</v>
      </c>
      <c r="H18" s="9">
        <f t="shared" si="0"/>
        <v>300000</v>
      </c>
      <c r="I18" s="9" t="s">
        <v>17</v>
      </c>
      <c r="J18" s="1">
        <v>1.2</v>
      </c>
      <c r="K18" s="53">
        <f t="shared" si="1"/>
        <v>36000</v>
      </c>
      <c r="L18" s="54">
        <f t="shared" si="2"/>
        <v>360000</v>
      </c>
    </row>
    <row r="19" spans="1:12" s="1" customFormat="1" ht="128.44999999999999" customHeight="1">
      <c r="A19" s="6">
        <v>6</v>
      </c>
      <c r="B19" s="26" t="s">
        <v>15</v>
      </c>
      <c r="C19" s="27" t="s">
        <v>94</v>
      </c>
      <c r="D19" s="30" t="s">
        <v>95</v>
      </c>
      <c r="E19" s="26" t="s">
        <v>8</v>
      </c>
      <c r="F19" s="24">
        <v>1</v>
      </c>
      <c r="G19" s="25">
        <v>5500000</v>
      </c>
      <c r="H19" s="9">
        <f t="shared" si="0"/>
        <v>5500000</v>
      </c>
      <c r="I19" s="25" t="s">
        <v>34</v>
      </c>
      <c r="J19" s="1">
        <v>1.2</v>
      </c>
      <c r="K19" s="53">
        <f t="shared" si="1"/>
        <v>6600000</v>
      </c>
      <c r="L19" s="54">
        <f t="shared" si="2"/>
        <v>6600000</v>
      </c>
    </row>
    <row r="20" spans="1:12" s="1" customFormat="1">
      <c r="A20" s="35">
        <v>7</v>
      </c>
      <c r="B20" s="37" t="s">
        <v>5</v>
      </c>
      <c r="C20" s="10" t="s">
        <v>35</v>
      </c>
      <c r="D20" s="6" t="s">
        <v>36</v>
      </c>
      <c r="E20" s="6" t="s">
        <v>14</v>
      </c>
      <c r="F20" s="8">
        <v>60</v>
      </c>
      <c r="G20" s="9">
        <v>15000</v>
      </c>
      <c r="H20" s="9">
        <f t="shared" si="0"/>
        <v>900000</v>
      </c>
      <c r="I20" s="9" t="s">
        <v>34</v>
      </c>
      <c r="J20" s="1">
        <v>1.2</v>
      </c>
      <c r="K20" s="53">
        <f t="shared" si="1"/>
        <v>18000</v>
      </c>
      <c r="L20" s="54">
        <f t="shared" si="2"/>
        <v>1080000</v>
      </c>
    </row>
    <row r="21" spans="1:12" s="1" customFormat="1">
      <c r="A21" s="35"/>
      <c r="B21" s="37"/>
      <c r="C21" s="10" t="s">
        <v>37</v>
      </c>
      <c r="D21" s="6" t="s">
        <v>4</v>
      </c>
      <c r="E21" s="6" t="s">
        <v>7</v>
      </c>
      <c r="F21" s="8">
        <v>2</v>
      </c>
      <c r="G21" s="9">
        <v>250000</v>
      </c>
      <c r="H21" s="9">
        <f t="shared" si="0"/>
        <v>500000</v>
      </c>
      <c r="I21" s="9" t="s">
        <v>34</v>
      </c>
      <c r="J21" s="1">
        <v>1.2</v>
      </c>
      <c r="K21" s="53">
        <f t="shared" si="1"/>
        <v>300000</v>
      </c>
      <c r="L21" s="54">
        <f t="shared" si="2"/>
        <v>600000</v>
      </c>
    </row>
    <row r="22" spans="1:12" s="1" customFormat="1">
      <c r="A22" s="35"/>
      <c r="B22" s="37"/>
      <c r="C22" s="12" t="s">
        <v>19</v>
      </c>
      <c r="D22" s="6" t="s">
        <v>4</v>
      </c>
      <c r="E22" s="6" t="s">
        <v>14</v>
      </c>
      <c r="F22" s="8">
        <v>60</v>
      </c>
      <c r="G22" s="9">
        <v>15000</v>
      </c>
      <c r="H22" s="9">
        <f t="shared" si="0"/>
        <v>900000</v>
      </c>
      <c r="I22" s="9" t="s">
        <v>34</v>
      </c>
      <c r="J22" s="1">
        <v>1.2</v>
      </c>
      <c r="K22" s="53">
        <f t="shared" si="1"/>
        <v>18000</v>
      </c>
      <c r="L22" s="54">
        <f t="shared" si="2"/>
        <v>1080000</v>
      </c>
    </row>
    <row r="23" spans="1:12" s="1" customFormat="1" ht="28.5">
      <c r="A23" s="35">
        <v>8</v>
      </c>
      <c r="B23" s="35" t="s">
        <v>6</v>
      </c>
      <c r="C23" s="12" t="s">
        <v>24</v>
      </c>
      <c r="D23" s="6" t="s">
        <v>1</v>
      </c>
      <c r="E23" s="6" t="s">
        <v>8</v>
      </c>
      <c r="F23" s="8">
        <v>1</v>
      </c>
      <c r="G23" s="9">
        <v>1000000</v>
      </c>
      <c r="H23" s="9">
        <f t="shared" si="0"/>
        <v>1000000</v>
      </c>
      <c r="I23" s="9"/>
      <c r="J23" s="1">
        <v>1.2</v>
      </c>
      <c r="K23" s="53">
        <f t="shared" si="1"/>
        <v>1200000</v>
      </c>
      <c r="L23" s="54">
        <f t="shared" si="2"/>
        <v>1200000</v>
      </c>
    </row>
    <row r="24" spans="1:12" s="1" customFormat="1">
      <c r="A24" s="35"/>
      <c r="B24" s="36"/>
      <c r="C24" s="11" t="s">
        <v>38</v>
      </c>
      <c r="D24" s="6" t="s">
        <v>1</v>
      </c>
      <c r="E24" s="6" t="s">
        <v>8</v>
      </c>
      <c r="F24" s="8">
        <v>8</v>
      </c>
      <c r="G24" s="9">
        <v>1000000</v>
      </c>
      <c r="H24" s="9">
        <f t="shared" si="0"/>
        <v>8000000</v>
      </c>
      <c r="I24" s="9"/>
      <c r="J24" s="1">
        <v>1.2</v>
      </c>
      <c r="K24" s="53">
        <f t="shared" si="1"/>
        <v>1200000</v>
      </c>
      <c r="L24" s="54">
        <f t="shared" si="2"/>
        <v>9600000</v>
      </c>
    </row>
    <row r="25" spans="1:12" s="1" customFormat="1" ht="25.7" customHeight="1">
      <c r="A25" s="36" t="s">
        <v>39</v>
      </c>
      <c r="B25" s="36"/>
      <c r="C25" s="36"/>
      <c r="D25" s="36"/>
      <c r="E25" s="36"/>
      <c r="F25" s="13"/>
      <c r="G25" s="13"/>
      <c r="H25" s="14">
        <f>SUM(H2:H24)</f>
        <v>73263111.111111104</v>
      </c>
      <c r="I25" s="10"/>
      <c r="K25" s="43"/>
      <c r="L25" s="43">
        <f>SUM(L2:L24)</f>
        <v>134588511.1111111</v>
      </c>
    </row>
    <row r="26" spans="1:12" ht="27.6" customHeight="1">
      <c r="K26" s="33"/>
    </row>
  </sheetData>
  <mergeCells count="11">
    <mergeCell ref="A4:A6"/>
    <mergeCell ref="B4:B6"/>
    <mergeCell ref="A25:E25"/>
    <mergeCell ref="A20:A22"/>
    <mergeCell ref="B20:B22"/>
    <mergeCell ref="A7:A13"/>
    <mergeCell ref="B7:B13"/>
    <mergeCell ref="A14:A18"/>
    <mergeCell ref="B14:B18"/>
    <mergeCell ref="A23:A24"/>
    <mergeCell ref="B23:B24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F989C-C748-4D43-B75C-DCC2241A6F91}">
  <sheetPr>
    <tabColor rgb="FF00B050"/>
  </sheetPr>
  <dimension ref="A1:U26"/>
  <sheetViews>
    <sheetView workbookViewId="0">
      <pane ySplit="1" topLeftCell="A11" activePane="bottomLeft" state="frozen"/>
      <selection pane="bottomLeft" activeCell="K3" sqref="K3"/>
    </sheetView>
  </sheetViews>
  <sheetFormatPr defaultColWidth="15.7109375" defaultRowHeight="20.25"/>
  <cols>
    <col min="1" max="1" width="4.7109375" style="2" bestFit="1" customWidth="1"/>
    <col min="2" max="2" width="16.42578125" style="3" customWidth="1"/>
    <col min="3" max="3" width="49.85546875" style="2" customWidth="1"/>
    <col min="4" max="4" width="14.42578125" style="4" customWidth="1"/>
    <col min="5" max="5" width="11.140625" style="4" customWidth="1"/>
    <col min="6" max="6" width="16.42578125" style="4" customWidth="1"/>
    <col min="7" max="8" width="16.42578125" style="4" hidden="1" customWidth="1"/>
    <col min="9" max="9" width="12.85546875" style="5" hidden="1" customWidth="1"/>
    <col min="10" max="10" width="0" style="2" hidden="1" customWidth="1"/>
    <col min="11" max="11" width="22.140625" style="5" customWidth="1"/>
    <col min="12" max="12" width="20.42578125" style="5" bestFit="1" customWidth="1"/>
    <col min="13" max="13" width="15.7109375" style="5"/>
    <col min="14" max="16384" width="15.7109375" style="2"/>
  </cols>
  <sheetData>
    <row r="1" spans="1:21" s="1" customFormat="1" ht="37.35" customHeight="1">
      <c r="A1" s="17" t="s">
        <v>46</v>
      </c>
      <c r="B1" s="18" t="s">
        <v>45</v>
      </c>
      <c r="C1" s="18" t="s">
        <v>49</v>
      </c>
      <c r="D1" s="17" t="s">
        <v>44</v>
      </c>
      <c r="E1" s="17" t="s">
        <v>43</v>
      </c>
      <c r="F1" s="7" t="s">
        <v>42</v>
      </c>
      <c r="G1" s="15" t="s">
        <v>48</v>
      </c>
      <c r="H1" s="7" t="s">
        <v>40</v>
      </c>
      <c r="I1" s="16" t="s">
        <v>41</v>
      </c>
      <c r="J1" s="41"/>
      <c r="K1" s="45" t="s">
        <v>103</v>
      </c>
      <c r="L1" s="45" t="s">
        <v>104</v>
      </c>
      <c r="M1" s="32"/>
      <c r="U1" s="28">
        <v>1</v>
      </c>
    </row>
    <row r="2" spans="1:21" s="1" customFormat="1" ht="90.95" customHeight="1">
      <c r="A2" s="20">
        <v>1</v>
      </c>
      <c r="B2" s="20" t="s">
        <v>9</v>
      </c>
      <c r="C2" s="22" t="s">
        <v>59</v>
      </c>
      <c r="D2" s="23" t="s">
        <v>53</v>
      </c>
      <c r="E2" s="26" t="s">
        <v>12</v>
      </c>
      <c r="F2" s="24">
        <v>14</v>
      </c>
      <c r="G2" s="25">
        <f>2380000/1.08</f>
        <v>2203703.7037037034</v>
      </c>
      <c r="H2" s="9">
        <f>F2*G2</f>
        <v>30851851.851851847</v>
      </c>
      <c r="I2" s="9" t="s">
        <v>54</v>
      </c>
      <c r="J2" s="41">
        <v>1.18</v>
      </c>
      <c r="K2" s="53">
        <f>J2*G2</f>
        <v>2600370.3703703699</v>
      </c>
      <c r="L2" s="54">
        <f>K2*F2</f>
        <v>36405185.185185179</v>
      </c>
      <c r="M2" s="52"/>
      <c r="U2" s="28"/>
    </row>
    <row r="3" spans="1:21" s="1" customFormat="1" ht="84.95" customHeight="1">
      <c r="A3" s="20">
        <v>2</v>
      </c>
      <c r="B3" s="20" t="s">
        <v>18</v>
      </c>
      <c r="C3" s="22" t="s">
        <v>92</v>
      </c>
      <c r="D3" s="26" t="s">
        <v>56</v>
      </c>
      <c r="E3" s="24" t="s">
        <v>8</v>
      </c>
      <c r="F3" s="24">
        <v>1</v>
      </c>
      <c r="G3" s="25">
        <f>28000000/1.08</f>
        <v>25925925.925925925</v>
      </c>
      <c r="H3" s="9">
        <f t="shared" ref="H3:H24" si="0">F3*G3</f>
        <v>25925925.925925925</v>
      </c>
      <c r="I3" s="9" t="s">
        <v>57</v>
      </c>
      <c r="J3" s="56">
        <v>1.2344999999999999</v>
      </c>
      <c r="K3" s="53">
        <f t="shared" ref="K3:K25" si="1">J3*G3</f>
        <v>32005555.555555552</v>
      </c>
      <c r="L3" s="54">
        <f t="shared" ref="L3:L25" si="2">K3*F3</f>
        <v>32005555.555555552</v>
      </c>
      <c r="M3" s="55"/>
      <c r="N3" s="28"/>
      <c r="O3" s="28"/>
      <c r="P3" s="28"/>
      <c r="Q3" s="28"/>
      <c r="R3" s="28"/>
      <c r="S3" s="28"/>
      <c r="T3" s="28"/>
      <c r="U3" s="28"/>
    </row>
    <row r="4" spans="1:21" s="1" customFormat="1" ht="71.45" customHeight="1">
      <c r="A4" s="35">
        <v>3</v>
      </c>
      <c r="B4" s="35" t="s">
        <v>10</v>
      </c>
      <c r="C4" s="22" t="s">
        <v>60</v>
      </c>
      <c r="D4" s="26" t="s">
        <v>58</v>
      </c>
      <c r="E4" s="24" t="s">
        <v>8</v>
      </c>
      <c r="F4" s="24">
        <v>1</v>
      </c>
      <c r="G4" s="25">
        <f>43218000/1.08</f>
        <v>40016666.666666664</v>
      </c>
      <c r="H4" s="9">
        <f t="shared" si="0"/>
        <v>40016666.666666664</v>
      </c>
      <c r="I4" s="9" t="s">
        <v>17</v>
      </c>
      <c r="J4" s="56">
        <v>1.18</v>
      </c>
      <c r="K4" s="53">
        <f t="shared" si="1"/>
        <v>47219666.666666664</v>
      </c>
      <c r="L4" s="54">
        <f t="shared" si="2"/>
        <v>47219666.666666664</v>
      </c>
      <c r="M4" s="55"/>
      <c r="N4" s="28"/>
      <c r="O4" s="28"/>
      <c r="P4" s="28"/>
      <c r="Q4" s="28"/>
      <c r="R4" s="28"/>
      <c r="S4" s="28"/>
      <c r="T4" s="28"/>
      <c r="U4" s="28"/>
    </row>
    <row r="5" spans="1:21" s="1" customFormat="1" ht="26.45" customHeight="1">
      <c r="A5" s="35"/>
      <c r="B5" s="35"/>
      <c r="C5" s="10" t="s">
        <v>27</v>
      </c>
      <c r="D5" s="20" t="s">
        <v>1</v>
      </c>
      <c r="E5" s="20" t="s">
        <v>8</v>
      </c>
      <c r="F5" s="8">
        <v>1</v>
      </c>
      <c r="G5" s="9">
        <v>800000</v>
      </c>
      <c r="H5" s="9">
        <f t="shared" si="0"/>
        <v>800000</v>
      </c>
      <c r="I5" s="9" t="s">
        <v>17</v>
      </c>
      <c r="J5" s="56">
        <v>1.18</v>
      </c>
      <c r="K5" s="53">
        <f t="shared" si="1"/>
        <v>944000</v>
      </c>
      <c r="L5" s="54">
        <f t="shared" si="2"/>
        <v>944000</v>
      </c>
      <c r="M5" s="55"/>
      <c r="N5" s="28"/>
      <c r="O5" s="28"/>
      <c r="P5" s="28"/>
      <c r="Q5" s="28"/>
      <c r="R5" s="28"/>
      <c r="S5" s="28"/>
      <c r="T5" s="28"/>
      <c r="U5" s="28"/>
    </row>
    <row r="6" spans="1:21" s="1" customFormat="1" ht="26.45" customHeight="1">
      <c r="A6" s="35"/>
      <c r="B6" s="35"/>
      <c r="C6" s="10" t="s">
        <v>28</v>
      </c>
      <c r="D6" s="20" t="s">
        <v>4</v>
      </c>
      <c r="E6" s="20" t="s">
        <v>8</v>
      </c>
      <c r="F6" s="8">
        <v>1</v>
      </c>
      <c r="G6" s="9">
        <v>100000</v>
      </c>
      <c r="H6" s="9">
        <f t="shared" si="0"/>
        <v>100000</v>
      </c>
      <c r="I6" s="9" t="s">
        <v>17</v>
      </c>
      <c r="J6" s="56">
        <v>1.18</v>
      </c>
      <c r="K6" s="53">
        <f t="shared" si="1"/>
        <v>118000</v>
      </c>
      <c r="L6" s="54">
        <f t="shared" si="2"/>
        <v>118000</v>
      </c>
      <c r="M6" s="55"/>
      <c r="N6" s="28"/>
      <c r="O6" s="28"/>
      <c r="P6" s="28"/>
      <c r="Q6" s="28" t="s">
        <v>82</v>
      </c>
      <c r="R6" s="28"/>
      <c r="S6" s="28"/>
      <c r="T6" s="28"/>
      <c r="U6" s="28"/>
    </row>
    <row r="7" spans="1:21" s="1" customFormat="1">
      <c r="A7" s="35">
        <v>4</v>
      </c>
      <c r="B7" s="35" t="s">
        <v>2</v>
      </c>
      <c r="C7" s="11" t="s">
        <v>0</v>
      </c>
      <c r="D7" s="20" t="s">
        <v>4</v>
      </c>
      <c r="E7" s="20" t="s">
        <v>7</v>
      </c>
      <c r="F7" s="8">
        <v>20</v>
      </c>
      <c r="G7" s="9">
        <v>11000</v>
      </c>
      <c r="H7" s="9">
        <f t="shared" si="0"/>
        <v>220000</v>
      </c>
      <c r="I7" s="9" t="s">
        <v>17</v>
      </c>
      <c r="J7" s="56">
        <v>1.2</v>
      </c>
      <c r="K7" s="53">
        <f t="shared" si="1"/>
        <v>13200</v>
      </c>
      <c r="L7" s="54">
        <f t="shared" si="2"/>
        <v>264000</v>
      </c>
      <c r="M7" s="55"/>
      <c r="N7" s="28"/>
      <c r="O7" s="28"/>
      <c r="P7" s="28"/>
      <c r="Q7" s="28" t="s">
        <v>84</v>
      </c>
      <c r="R7" s="28"/>
      <c r="S7" s="28"/>
      <c r="T7" s="28"/>
      <c r="U7" s="28"/>
    </row>
    <row r="8" spans="1:21" s="1" customFormat="1">
      <c r="A8" s="35"/>
      <c r="B8" s="35"/>
      <c r="C8" s="11" t="s">
        <v>11</v>
      </c>
      <c r="D8" s="20" t="s">
        <v>4</v>
      </c>
      <c r="E8" s="20" t="s">
        <v>7</v>
      </c>
      <c r="F8" s="8">
        <v>32</v>
      </c>
      <c r="G8" s="9">
        <v>11000</v>
      </c>
      <c r="H8" s="9">
        <f t="shared" si="0"/>
        <v>352000</v>
      </c>
      <c r="I8" s="9" t="s">
        <v>17</v>
      </c>
      <c r="J8" s="56">
        <v>1.2</v>
      </c>
      <c r="K8" s="53">
        <f t="shared" si="1"/>
        <v>13200</v>
      </c>
      <c r="L8" s="54">
        <f t="shared" si="2"/>
        <v>422400</v>
      </c>
      <c r="M8" s="55"/>
      <c r="N8" s="28"/>
      <c r="O8" s="28"/>
      <c r="P8" s="28"/>
      <c r="Q8" s="28"/>
      <c r="R8" s="28"/>
      <c r="S8" s="28"/>
      <c r="T8" s="28"/>
      <c r="U8" s="28"/>
    </row>
    <row r="9" spans="1:21" s="1" customFormat="1">
      <c r="A9" s="35"/>
      <c r="B9" s="35"/>
      <c r="C9" s="11" t="s">
        <v>29</v>
      </c>
      <c r="D9" s="20" t="s">
        <v>4</v>
      </c>
      <c r="E9" s="20" t="s">
        <v>7</v>
      </c>
      <c r="F9" s="8">
        <v>12</v>
      </c>
      <c r="G9" s="9">
        <v>360000</v>
      </c>
      <c r="H9" s="9">
        <f t="shared" si="0"/>
        <v>4320000</v>
      </c>
      <c r="I9" s="9" t="s">
        <v>17</v>
      </c>
      <c r="J9" s="56">
        <v>1.2</v>
      </c>
      <c r="K9" s="53">
        <f t="shared" si="1"/>
        <v>432000</v>
      </c>
      <c r="L9" s="54">
        <f t="shared" si="2"/>
        <v>5184000</v>
      </c>
      <c r="M9" s="55"/>
      <c r="N9" s="28"/>
      <c r="O9" s="28"/>
      <c r="P9" s="28"/>
      <c r="Q9" s="28" t="s">
        <v>87</v>
      </c>
      <c r="R9" s="28"/>
      <c r="S9" s="28"/>
      <c r="T9" s="28">
        <f>6*4.2</f>
        <v>25.200000000000003</v>
      </c>
      <c r="U9" s="28" t="s">
        <v>86</v>
      </c>
    </row>
    <row r="10" spans="1:21" s="1" customFormat="1">
      <c r="A10" s="35"/>
      <c r="B10" s="35"/>
      <c r="C10" s="11" t="s">
        <v>20</v>
      </c>
      <c r="D10" s="20" t="s">
        <v>4</v>
      </c>
      <c r="E10" s="20" t="s">
        <v>7</v>
      </c>
      <c r="F10" s="8">
        <v>12</v>
      </c>
      <c r="G10" s="9">
        <v>20000</v>
      </c>
      <c r="H10" s="9">
        <f t="shared" si="0"/>
        <v>240000</v>
      </c>
      <c r="I10" s="9" t="s">
        <v>17</v>
      </c>
      <c r="J10" s="56">
        <v>1.2</v>
      </c>
      <c r="K10" s="53">
        <f t="shared" si="1"/>
        <v>24000</v>
      </c>
      <c r="L10" s="54">
        <f t="shared" si="2"/>
        <v>288000</v>
      </c>
      <c r="M10" s="55"/>
      <c r="N10" s="28"/>
      <c r="O10" s="28"/>
      <c r="P10" s="28"/>
      <c r="Q10" s="28" t="s">
        <v>89</v>
      </c>
      <c r="R10" s="28"/>
      <c r="S10" s="28"/>
      <c r="T10" s="28"/>
      <c r="U10" s="28"/>
    </row>
    <row r="11" spans="1:21" s="1" customFormat="1">
      <c r="A11" s="35"/>
      <c r="B11" s="35"/>
      <c r="C11" s="11" t="s">
        <v>21</v>
      </c>
      <c r="D11" s="20" t="s">
        <v>4</v>
      </c>
      <c r="E11" s="20" t="s">
        <v>7</v>
      </c>
      <c r="F11" s="8">
        <v>45</v>
      </c>
      <c r="G11" s="9">
        <v>20000</v>
      </c>
      <c r="H11" s="9">
        <f t="shared" si="0"/>
        <v>900000</v>
      </c>
      <c r="I11" s="9" t="s">
        <v>17</v>
      </c>
      <c r="J11" s="56">
        <v>1.2</v>
      </c>
      <c r="K11" s="53">
        <f t="shared" si="1"/>
        <v>24000</v>
      </c>
      <c r="L11" s="54">
        <f t="shared" si="2"/>
        <v>1080000</v>
      </c>
      <c r="M11" s="55"/>
      <c r="N11" s="28"/>
      <c r="O11" s="28"/>
      <c r="P11" s="28"/>
      <c r="Q11" s="28" t="s">
        <v>91</v>
      </c>
      <c r="R11" s="28"/>
      <c r="S11" s="28"/>
      <c r="T11" s="28"/>
      <c r="U11" s="28"/>
    </row>
    <row r="12" spans="1:21" s="1" customFormat="1">
      <c r="A12" s="35"/>
      <c r="B12" s="35"/>
      <c r="C12" s="11" t="s">
        <v>25</v>
      </c>
      <c r="D12" s="20" t="s">
        <v>4</v>
      </c>
      <c r="E12" s="20" t="s">
        <v>7</v>
      </c>
      <c r="F12" s="8">
        <v>18</v>
      </c>
      <c r="G12" s="9">
        <v>20000</v>
      </c>
      <c r="H12" s="9">
        <f t="shared" si="0"/>
        <v>360000</v>
      </c>
      <c r="I12" s="9" t="s">
        <v>17</v>
      </c>
      <c r="J12" s="41">
        <v>1.2</v>
      </c>
      <c r="K12" s="53">
        <f t="shared" si="1"/>
        <v>24000</v>
      </c>
      <c r="L12" s="54">
        <f t="shared" si="2"/>
        <v>432000</v>
      </c>
      <c r="M12" s="32"/>
      <c r="Q12" s="1">
        <f>14*30/10</f>
        <v>42</v>
      </c>
    </row>
    <row r="13" spans="1:21" s="1" customFormat="1">
      <c r="A13" s="35"/>
      <c r="B13" s="35"/>
      <c r="C13" s="11" t="s">
        <v>26</v>
      </c>
      <c r="D13" s="20" t="s">
        <v>4</v>
      </c>
      <c r="E13" s="20" t="s">
        <v>7</v>
      </c>
      <c r="F13" s="8">
        <v>32</v>
      </c>
      <c r="G13" s="9">
        <v>2000</v>
      </c>
      <c r="H13" s="9">
        <f t="shared" si="0"/>
        <v>64000</v>
      </c>
      <c r="I13" s="9" t="s">
        <v>17</v>
      </c>
      <c r="J13" s="41">
        <v>1.2</v>
      </c>
      <c r="K13" s="53">
        <f t="shared" si="1"/>
        <v>2400</v>
      </c>
      <c r="L13" s="54">
        <f t="shared" si="2"/>
        <v>76800</v>
      </c>
      <c r="M13" s="32"/>
    </row>
    <row r="14" spans="1:21" s="1" customFormat="1" ht="33.6" customHeight="1">
      <c r="A14" s="35">
        <v>5</v>
      </c>
      <c r="B14" s="35" t="s">
        <v>3</v>
      </c>
      <c r="C14" s="10" t="s">
        <v>22</v>
      </c>
      <c r="D14" s="20" t="s">
        <v>30</v>
      </c>
      <c r="E14" s="20" t="s">
        <v>14</v>
      </c>
      <c r="F14" s="8">
        <v>100</v>
      </c>
      <c r="G14" s="9">
        <v>20000</v>
      </c>
      <c r="H14" s="9">
        <f t="shared" si="0"/>
        <v>2000000</v>
      </c>
      <c r="I14" s="9" t="s">
        <v>17</v>
      </c>
      <c r="J14" s="41">
        <v>1.2</v>
      </c>
      <c r="K14" s="53">
        <f t="shared" si="1"/>
        <v>24000</v>
      </c>
      <c r="L14" s="54">
        <f t="shared" si="2"/>
        <v>2400000</v>
      </c>
      <c r="M14" s="32"/>
    </row>
    <row r="15" spans="1:21" s="1" customFormat="1" ht="32.450000000000003" customHeight="1">
      <c r="A15" s="35"/>
      <c r="B15" s="35"/>
      <c r="C15" s="10" t="s">
        <v>23</v>
      </c>
      <c r="D15" s="20" t="s">
        <v>30</v>
      </c>
      <c r="E15" s="20" t="s">
        <v>14</v>
      </c>
      <c r="F15" s="8">
        <v>100</v>
      </c>
      <c r="G15" s="9">
        <v>20000</v>
      </c>
      <c r="H15" s="9">
        <f t="shared" si="0"/>
        <v>2000000</v>
      </c>
      <c r="I15" s="9" t="s">
        <v>17</v>
      </c>
      <c r="J15" s="41">
        <v>1.2</v>
      </c>
      <c r="K15" s="53">
        <f t="shared" si="1"/>
        <v>24000</v>
      </c>
      <c r="L15" s="54">
        <f t="shared" si="2"/>
        <v>2400000</v>
      </c>
      <c r="M15" s="32"/>
    </row>
    <row r="16" spans="1:21" s="1" customFormat="1" ht="42.75">
      <c r="A16" s="35"/>
      <c r="B16" s="35"/>
      <c r="C16" s="11" t="s">
        <v>52</v>
      </c>
      <c r="D16" s="20" t="s">
        <v>32</v>
      </c>
      <c r="E16" s="20" t="s">
        <v>14</v>
      </c>
      <c r="F16" s="8">
        <v>20</v>
      </c>
      <c r="G16" s="9">
        <v>80000</v>
      </c>
      <c r="H16" s="9">
        <f t="shared" si="0"/>
        <v>1600000</v>
      </c>
      <c r="I16" s="9" t="s">
        <v>17</v>
      </c>
      <c r="J16" s="41">
        <v>1.2</v>
      </c>
      <c r="K16" s="53">
        <f t="shared" si="1"/>
        <v>96000</v>
      </c>
      <c r="L16" s="54">
        <f t="shared" si="2"/>
        <v>1920000</v>
      </c>
      <c r="M16" s="32"/>
    </row>
    <row r="17" spans="1:13" s="1" customFormat="1" ht="36" customHeight="1">
      <c r="A17" s="35"/>
      <c r="B17" s="35"/>
      <c r="C17" s="10" t="s">
        <v>47</v>
      </c>
      <c r="D17" s="20" t="s">
        <v>4</v>
      </c>
      <c r="E17" s="20" t="s">
        <v>8</v>
      </c>
      <c r="F17" s="8">
        <v>1</v>
      </c>
      <c r="G17" s="9">
        <v>300000</v>
      </c>
      <c r="H17" s="9">
        <f t="shared" si="0"/>
        <v>300000</v>
      </c>
      <c r="I17" s="9" t="s">
        <v>17</v>
      </c>
      <c r="J17" s="41">
        <v>1.2</v>
      </c>
      <c r="K17" s="53">
        <f t="shared" si="1"/>
        <v>360000</v>
      </c>
      <c r="L17" s="54">
        <f t="shared" si="2"/>
        <v>360000</v>
      </c>
      <c r="M17" s="32"/>
    </row>
    <row r="18" spans="1:13" s="1" customFormat="1" ht="26.1" customHeight="1">
      <c r="A18" s="35"/>
      <c r="B18" s="35"/>
      <c r="C18" s="10" t="s">
        <v>13</v>
      </c>
      <c r="D18" s="20" t="s">
        <v>30</v>
      </c>
      <c r="E18" s="20" t="s">
        <v>8</v>
      </c>
      <c r="F18" s="8">
        <v>10</v>
      </c>
      <c r="G18" s="9">
        <v>30000</v>
      </c>
      <c r="H18" s="9">
        <f t="shared" si="0"/>
        <v>300000</v>
      </c>
      <c r="I18" s="9" t="s">
        <v>17</v>
      </c>
      <c r="J18" s="41">
        <v>1.2</v>
      </c>
      <c r="K18" s="53">
        <f t="shared" si="1"/>
        <v>36000</v>
      </c>
      <c r="L18" s="54">
        <f t="shared" si="2"/>
        <v>360000</v>
      </c>
      <c r="M18" s="32"/>
    </row>
    <row r="19" spans="1:13" s="1" customFormat="1" ht="128.44999999999999" customHeight="1">
      <c r="A19" s="20">
        <v>6</v>
      </c>
      <c r="B19" s="26" t="s">
        <v>15</v>
      </c>
      <c r="C19" s="27" t="s">
        <v>96</v>
      </c>
      <c r="D19" s="30" t="s">
        <v>95</v>
      </c>
      <c r="E19" s="30" t="s">
        <v>8</v>
      </c>
      <c r="F19" s="24">
        <v>1</v>
      </c>
      <c r="G19" s="25">
        <v>5700000</v>
      </c>
      <c r="H19" s="9">
        <f t="shared" si="0"/>
        <v>5700000</v>
      </c>
      <c r="I19" s="25" t="s">
        <v>34</v>
      </c>
      <c r="J19" s="41">
        <v>1.2</v>
      </c>
      <c r="K19" s="53">
        <f t="shared" si="1"/>
        <v>6840000</v>
      </c>
      <c r="L19" s="54">
        <f t="shared" si="2"/>
        <v>6840000</v>
      </c>
      <c r="M19" s="32"/>
    </row>
    <row r="20" spans="1:13" s="1" customFormat="1">
      <c r="A20" s="35">
        <v>7</v>
      </c>
      <c r="B20" s="37" t="s">
        <v>5</v>
      </c>
      <c r="C20" s="10" t="s">
        <v>35</v>
      </c>
      <c r="D20" s="20" t="s">
        <v>36</v>
      </c>
      <c r="E20" s="20" t="s">
        <v>14</v>
      </c>
      <c r="F20" s="8">
        <v>60</v>
      </c>
      <c r="G20" s="9">
        <v>15000</v>
      </c>
      <c r="H20" s="9">
        <f t="shared" si="0"/>
        <v>900000</v>
      </c>
      <c r="I20" s="9" t="s">
        <v>34</v>
      </c>
      <c r="J20" s="41">
        <v>1.2</v>
      </c>
      <c r="K20" s="53">
        <f t="shared" si="1"/>
        <v>18000</v>
      </c>
      <c r="L20" s="54">
        <f t="shared" si="2"/>
        <v>1080000</v>
      </c>
      <c r="M20" s="32"/>
    </row>
    <row r="21" spans="1:13" s="1" customFormat="1">
      <c r="A21" s="35"/>
      <c r="B21" s="37"/>
      <c r="C21" s="10" t="s">
        <v>37</v>
      </c>
      <c r="D21" s="20" t="s">
        <v>4</v>
      </c>
      <c r="E21" s="20" t="s">
        <v>7</v>
      </c>
      <c r="F21" s="8">
        <v>2</v>
      </c>
      <c r="G21" s="9">
        <v>250000</v>
      </c>
      <c r="H21" s="9">
        <f t="shared" si="0"/>
        <v>500000</v>
      </c>
      <c r="I21" s="9" t="s">
        <v>34</v>
      </c>
      <c r="J21" s="41">
        <v>1.2</v>
      </c>
      <c r="K21" s="53">
        <f t="shared" si="1"/>
        <v>300000</v>
      </c>
      <c r="L21" s="54">
        <f t="shared" si="2"/>
        <v>600000</v>
      </c>
      <c r="M21" s="32"/>
    </row>
    <row r="22" spans="1:13" s="1" customFormat="1">
      <c r="A22" s="35"/>
      <c r="B22" s="37"/>
      <c r="C22" s="12" t="s">
        <v>19</v>
      </c>
      <c r="D22" s="20" t="s">
        <v>4</v>
      </c>
      <c r="E22" s="20" t="s">
        <v>14</v>
      </c>
      <c r="F22" s="8">
        <v>60</v>
      </c>
      <c r="G22" s="9">
        <v>15000</v>
      </c>
      <c r="H22" s="9">
        <f t="shared" si="0"/>
        <v>900000</v>
      </c>
      <c r="I22" s="9" t="s">
        <v>34</v>
      </c>
      <c r="J22" s="41">
        <v>1.2</v>
      </c>
      <c r="K22" s="53">
        <f t="shared" si="1"/>
        <v>18000</v>
      </c>
      <c r="L22" s="54">
        <f t="shared" si="2"/>
        <v>1080000</v>
      </c>
      <c r="M22" s="32"/>
    </row>
    <row r="23" spans="1:13" s="1" customFormat="1" ht="28.5">
      <c r="A23" s="35">
        <v>8</v>
      </c>
      <c r="B23" s="35" t="s">
        <v>6</v>
      </c>
      <c r="C23" s="12" t="s">
        <v>24</v>
      </c>
      <c r="D23" s="20" t="s">
        <v>1</v>
      </c>
      <c r="E23" s="20" t="s">
        <v>8</v>
      </c>
      <c r="F23" s="8">
        <v>1</v>
      </c>
      <c r="G23" s="9">
        <v>1000000</v>
      </c>
      <c r="H23" s="9">
        <f t="shared" si="0"/>
        <v>1000000</v>
      </c>
      <c r="I23" s="9"/>
      <c r="J23" s="41">
        <v>1.2</v>
      </c>
      <c r="K23" s="53">
        <f t="shared" si="1"/>
        <v>1200000</v>
      </c>
      <c r="L23" s="54">
        <f t="shared" si="2"/>
        <v>1200000</v>
      </c>
      <c r="M23" s="32"/>
    </row>
    <row r="24" spans="1:13" s="1" customFormat="1">
      <c r="A24" s="35"/>
      <c r="B24" s="36"/>
      <c r="C24" s="11" t="s">
        <v>38</v>
      </c>
      <c r="D24" s="20" t="s">
        <v>1</v>
      </c>
      <c r="E24" s="20" t="s">
        <v>8</v>
      </c>
      <c r="F24" s="8">
        <v>9.1</v>
      </c>
      <c r="G24" s="9">
        <v>1000000</v>
      </c>
      <c r="H24" s="9">
        <f t="shared" si="0"/>
        <v>9100000</v>
      </c>
      <c r="I24" s="9"/>
      <c r="J24" s="41">
        <v>1.2</v>
      </c>
      <c r="K24" s="53">
        <f t="shared" si="1"/>
        <v>1200000</v>
      </c>
      <c r="L24" s="54">
        <f t="shared" si="2"/>
        <v>10920000</v>
      </c>
      <c r="M24" s="32"/>
    </row>
    <row r="25" spans="1:13" s="1" customFormat="1" ht="25.7" customHeight="1">
      <c r="A25" s="36" t="s">
        <v>39</v>
      </c>
      <c r="B25" s="36"/>
      <c r="C25" s="36"/>
      <c r="D25" s="36"/>
      <c r="E25" s="36"/>
      <c r="F25" s="13"/>
      <c r="G25" s="13"/>
      <c r="H25" s="14">
        <f>SUM(H2:H24)</f>
        <v>128450444.44444445</v>
      </c>
      <c r="I25" s="10"/>
      <c r="J25" s="41"/>
      <c r="K25" s="53">
        <f t="shared" si="1"/>
        <v>0</v>
      </c>
      <c r="L25" s="54">
        <f>SUM(L2:L24)</f>
        <v>153599607.4074074</v>
      </c>
      <c r="M25" s="32"/>
    </row>
    <row r="26" spans="1:13" ht="27.6" customHeight="1">
      <c r="K26" s="33"/>
    </row>
  </sheetData>
  <mergeCells count="11">
    <mergeCell ref="A20:A22"/>
    <mergeCell ref="B20:B22"/>
    <mergeCell ref="A23:A24"/>
    <mergeCell ref="B23:B24"/>
    <mergeCell ref="A25:E25"/>
    <mergeCell ref="A4:A6"/>
    <mergeCell ref="B4:B6"/>
    <mergeCell ref="A7:A13"/>
    <mergeCell ref="B7:B13"/>
    <mergeCell ref="A14:A18"/>
    <mergeCell ref="B14:B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D517E-40B5-419F-8492-CD3B7F359ADC}">
  <sheetPr>
    <tabColor rgb="FF00B050"/>
  </sheetPr>
  <dimension ref="A1:U26"/>
  <sheetViews>
    <sheetView topLeftCell="B1" workbookViewId="0">
      <pane ySplit="1" topLeftCell="A2" activePane="bottomLeft" state="frozen"/>
      <selection activeCell="B1" sqref="B1"/>
      <selection pane="bottomLeft" activeCell="K3" sqref="K3"/>
    </sheetView>
  </sheetViews>
  <sheetFormatPr defaultColWidth="15.7109375" defaultRowHeight="20.25"/>
  <cols>
    <col min="1" max="1" width="4.7109375" style="2" bestFit="1" customWidth="1"/>
    <col min="2" max="2" width="16.42578125" style="3" customWidth="1"/>
    <col min="3" max="3" width="49.85546875" style="2" customWidth="1"/>
    <col min="4" max="4" width="14.42578125" style="4" customWidth="1"/>
    <col min="5" max="5" width="11.140625" style="4" customWidth="1"/>
    <col min="6" max="6" width="16.42578125" style="4" customWidth="1"/>
    <col min="7" max="8" width="16.42578125" style="4" hidden="1" customWidth="1"/>
    <col min="9" max="9" width="12.85546875" style="5" hidden="1" customWidth="1"/>
    <col min="10" max="10" width="0" style="2" hidden="1" customWidth="1"/>
    <col min="11" max="11" width="23.28515625" style="5" customWidth="1"/>
    <col min="12" max="12" width="23.140625" style="5" bestFit="1" customWidth="1"/>
    <col min="13" max="16384" width="15.7109375" style="2"/>
  </cols>
  <sheetData>
    <row r="1" spans="1:21" s="1" customFormat="1" ht="37.35" customHeight="1">
      <c r="A1" s="17" t="s">
        <v>46</v>
      </c>
      <c r="B1" s="18" t="s">
        <v>45</v>
      </c>
      <c r="C1" s="18" t="s">
        <v>49</v>
      </c>
      <c r="D1" s="17" t="s">
        <v>44</v>
      </c>
      <c r="E1" s="17" t="s">
        <v>43</v>
      </c>
      <c r="F1" s="7" t="s">
        <v>42</v>
      </c>
      <c r="G1" s="15" t="s">
        <v>48</v>
      </c>
      <c r="H1" s="7" t="s">
        <v>40</v>
      </c>
      <c r="I1" s="16" t="s">
        <v>41</v>
      </c>
      <c r="K1" s="45" t="s">
        <v>103</v>
      </c>
      <c r="L1" s="45" t="s">
        <v>104</v>
      </c>
      <c r="U1" s="28"/>
    </row>
    <row r="2" spans="1:21" s="1" customFormat="1" ht="90.95" customHeight="1">
      <c r="A2" s="20">
        <v>1</v>
      </c>
      <c r="B2" s="20" t="s">
        <v>9</v>
      </c>
      <c r="C2" s="22" t="s">
        <v>59</v>
      </c>
      <c r="D2" s="23" t="s">
        <v>53</v>
      </c>
      <c r="E2" s="26" t="s">
        <v>12</v>
      </c>
      <c r="F2" s="24">
        <v>16</v>
      </c>
      <c r="G2" s="25">
        <f>2380000/1.08</f>
        <v>2203703.7037037034</v>
      </c>
      <c r="H2" s="9">
        <f>F2*G2</f>
        <v>35259259.259259254</v>
      </c>
      <c r="I2" s="9" t="s">
        <v>54</v>
      </c>
      <c r="J2" s="1">
        <v>1.18</v>
      </c>
      <c r="K2" s="53">
        <f>J2*G2</f>
        <v>2600370.3703703699</v>
      </c>
      <c r="L2" s="54">
        <f>K2*F2</f>
        <v>41605925.925925918</v>
      </c>
      <c r="M2" s="34"/>
      <c r="U2" s="28"/>
    </row>
    <row r="3" spans="1:21" s="1" customFormat="1" ht="84.95" customHeight="1">
      <c r="A3" s="20">
        <v>2</v>
      </c>
      <c r="B3" s="20" t="s">
        <v>18</v>
      </c>
      <c r="C3" s="22" t="s">
        <v>92</v>
      </c>
      <c r="D3" s="26" t="s">
        <v>56</v>
      </c>
      <c r="E3" s="24" t="s">
        <v>8</v>
      </c>
      <c r="F3" s="24">
        <v>1</v>
      </c>
      <c r="G3" s="25">
        <f>28000000/1.08</f>
        <v>25925925.925925925</v>
      </c>
      <c r="H3" s="9">
        <f t="shared" ref="H3:H24" si="0">F3*G3</f>
        <v>25925925.925925925</v>
      </c>
      <c r="I3" s="9" t="s">
        <v>57</v>
      </c>
      <c r="J3" s="28">
        <v>1.2344999999999999</v>
      </c>
      <c r="K3" s="53">
        <f t="shared" ref="K3:K25" si="1">J3*G3</f>
        <v>32005555.555555552</v>
      </c>
      <c r="L3" s="54">
        <f t="shared" ref="L3:L25" si="2">K3*F3</f>
        <v>32005555.555555552</v>
      </c>
      <c r="M3" s="28"/>
      <c r="N3" s="28"/>
      <c r="O3" s="28"/>
      <c r="P3" s="28"/>
      <c r="Q3" s="28"/>
      <c r="R3" s="28"/>
      <c r="S3" s="28"/>
      <c r="T3" s="28"/>
      <c r="U3" s="28"/>
    </row>
    <row r="4" spans="1:21" s="1" customFormat="1" ht="71.45" customHeight="1">
      <c r="A4" s="35">
        <v>3</v>
      </c>
      <c r="B4" s="35" t="s">
        <v>10</v>
      </c>
      <c r="C4" s="22" t="s">
        <v>60</v>
      </c>
      <c r="D4" s="26" t="s">
        <v>58</v>
      </c>
      <c r="E4" s="24" t="s">
        <v>8</v>
      </c>
      <c r="F4" s="24">
        <v>1</v>
      </c>
      <c r="G4" s="25">
        <f>43218000/1.08</f>
        <v>40016666.666666664</v>
      </c>
      <c r="H4" s="9">
        <f t="shared" si="0"/>
        <v>40016666.666666664</v>
      </c>
      <c r="I4" s="9" t="s">
        <v>17</v>
      </c>
      <c r="J4" s="28">
        <v>1.18</v>
      </c>
      <c r="K4" s="53">
        <f t="shared" si="1"/>
        <v>47219666.666666664</v>
      </c>
      <c r="L4" s="54">
        <f t="shared" si="2"/>
        <v>47219666.666666664</v>
      </c>
      <c r="M4" s="28"/>
      <c r="N4" s="28"/>
      <c r="O4" s="28"/>
      <c r="P4" s="28"/>
      <c r="Q4" s="28"/>
      <c r="R4" s="28"/>
      <c r="S4" s="28"/>
      <c r="T4" s="28"/>
      <c r="U4" s="28"/>
    </row>
    <row r="5" spans="1:21" s="1" customFormat="1" ht="26.45" customHeight="1">
      <c r="A5" s="35"/>
      <c r="B5" s="35"/>
      <c r="C5" s="10" t="s">
        <v>27</v>
      </c>
      <c r="D5" s="20" t="s">
        <v>1</v>
      </c>
      <c r="E5" s="20" t="s">
        <v>8</v>
      </c>
      <c r="F5" s="8">
        <v>1</v>
      </c>
      <c r="G5" s="9">
        <v>800000</v>
      </c>
      <c r="H5" s="9">
        <f t="shared" si="0"/>
        <v>800000</v>
      </c>
      <c r="I5" s="9" t="s">
        <v>17</v>
      </c>
      <c r="J5" s="28">
        <v>1.18</v>
      </c>
      <c r="K5" s="53">
        <f t="shared" si="1"/>
        <v>944000</v>
      </c>
      <c r="L5" s="54">
        <f t="shared" si="2"/>
        <v>944000</v>
      </c>
      <c r="M5" s="28"/>
      <c r="N5" s="28"/>
      <c r="O5" s="28"/>
      <c r="P5" s="28"/>
      <c r="Q5" s="28"/>
      <c r="R5" s="28"/>
      <c r="S5" s="28"/>
      <c r="T5" s="28"/>
      <c r="U5" s="28"/>
    </row>
    <row r="6" spans="1:21" s="1" customFormat="1" ht="26.45" customHeight="1">
      <c r="A6" s="35"/>
      <c r="B6" s="35"/>
      <c r="C6" s="10" t="s">
        <v>28</v>
      </c>
      <c r="D6" s="20" t="s">
        <v>4</v>
      </c>
      <c r="E6" s="20" t="s">
        <v>8</v>
      </c>
      <c r="F6" s="8">
        <v>1</v>
      </c>
      <c r="G6" s="9">
        <v>100000</v>
      </c>
      <c r="H6" s="9">
        <f t="shared" si="0"/>
        <v>100000</v>
      </c>
      <c r="I6" s="9" t="s">
        <v>17</v>
      </c>
      <c r="J6" s="28">
        <v>1.18</v>
      </c>
      <c r="K6" s="53">
        <f t="shared" si="1"/>
        <v>118000</v>
      </c>
      <c r="L6" s="54">
        <f t="shared" si="2"/>
        <v>118000</v>
      </c>
      <c r="M6" s="28"/>
      <c r="N6" s="28"/>
      <c r="O6" s="28"/>
      <c r="P6" s="28"/>
      <c r="Q6" s="28"/>
      <c r="R6" s="28"/>
      <c r="S6" s="28"/>
      <c r="T6" s="28"/>
      <c r="U6" s="28"/>
    </row>
    <row r="7" spans="1:21" s="1" customFormat="1">
      <c r="A7" s="35">
        <v>4</v>
      </c>
      <c r="B7" s="35" t="s">
        <v>2</v>
      </c>
      <c r="C7" s="11" t="s">
        <v>0</v>
      </c>
      <c r="D7" s="20" t="s">
        <v>4</v>
      </c>
      <c r="E7" s="20" t="s">
        <v>7</v>
      </c>
      <c r="F7" s="8">
        <v>24</v>
      </c>
      <c r="G7" s="9">
        <v>11000</v>
      </c>
      <c r="H7" s="9">
        <f t="shared" si="0"/>
        <v>264000</v>
      </c>
      <c r="I7" s="9" t="s">
        <v>17</v>
      </c>
      <c r="J7" s="28">
        <v>1.2</v>
      </c>
      <c r="K7" s="53">
        <f t="shared" si="1"/>
        <v>13200</v>
      </c>
      <c r="L7" s="54">
        <f t="shared" si="2"/>
        <v>316800</v>
      </c>
      <c r="M7" s="28"/>
      <c r="N7" s="28"/>
      <c r="O7" s="28"/>
      <c r="P7" s="28"/>
      <c r="Q7" s="28"/>
      <c r="R7" s="28"/>
      <c r="S7" s="28"/>
      <c r="T7" s="28"/>
      <c r="U7" s="28"/>
    </row>
    <row r="8" spans="1:21" s="1" customFormat="1">
      <c r="A8" s="35"/>
      <c r="B8" s="35"/>
      <c r="C8" s="11" t="s">
        <v>11</v>
      </c>
      <c r="D8" s="20" t="s">
        <v>4</v>
      </c>
      <c r="E8" s="20" t="s">
        <v>7</v>
      </c>
      <c r="F8" s="8">
        <v>32</v>
      </c>
      <c r="G8" s="9">
        <v>11000</v>
      </c>
      <c r="H8" s="9">
        <f t="shared" si="0"/>
        <v>352000</v>
      </c>
      <c r="I8" s="9" t="s">
        <v>17</v>
      </c>
      <c r="J8" s="28">
        <v>1.2</v>
      </c>
      <c r="K8" s="53">
        <f t="shared" si="1"/>
        <v>13200</v>
      </c>
      <c r="L8" s="54">
        <f t="shared" si="2"/>
        <v>422400</v>
      </c>
      <c r="M8" s="28"/>
      <c r="N8" s="28"/>
      <c r="O8" s="28"/>
      <c r="P8" s="28"/>
      <c r="Q8" s="28"/>
      <c r="R8" s="28"/>
      <c r="S8" s="28"/>
      <c r="T8" s="28"/>
      <c r="U8" s="28"/>
    </row>
    <row r="9" spans="1:21" s="1" customFormat="1">
      <c r="A9" s="35"/>
      <c r="B9" s="35"/>
      <c r="C9" s="11" t="s">
        <v>29</v>
      </c>
      <c r="D9" s="20" t="s">
        <v>4</v>
      </c>
      <c r="E9" s="20" t="s">
        <v>7</v>
      </c>
      <c r="F9" s="8">
        <v>13</v>
      </c>
      <c r="G9" s="9">
        <v>360000</v>
      </c>
      <c r="H9" s="9">
        <f t="shared" si="0"/>
        <v>4680000</v>
      </c>
      <c r="I9" s="9" t="s">
        <v>17</v>
      </c>
      <c r="J9" s="28">
        <v>1.2</v>
      </c>
      <c r="K9" s="53">
        <f t="shared" si="1"/>
        <v>432000</v>
      </c>
      <c r="L9" s="54">
        <f t="shared" si="2"/>
        <v>5616000</v>
      </c>
      <c r="M9" s="28"/>
      <c r="N9" s="28"/>
      <c r="O9" s="28"/>
      <c r="P9" s="28"/>
      <c r="Q9" s="28"/>
      <c r="R9" s="28"/>
      <c r="S9" s="28"/>
      <c r="T9" s="28"/>
      <c r="U9" s="28"/>
    </row>
    <row r="10" spans="1:21" s="1" customFormat="1">
      <c r="A10" s="35"/>
      <c r="B10" s="35"/>
      <c r="C10" s="11" t="s">
        <v>20</v>
      </c>
      <c r="D10" s="20" t="s">
        <v>4</v>
      </c>
      <c r="E10" s="20" t="s">
        <v>7</v>
      </c>
      <c r="F10" s="8">
        <v>13</v>
      </c>
      <c r="G10" s="9">
        <v>20000</v>
      </c>
      <c r="H10" s="9">
        <f t="shared" si="0"/>
        <v>260000</v>
      </c>
      <c r="I10" s="9" t="s">
        <v>17</v>
      </c>
      <c r="J10" s="28">
        <v>1.2</v>
      </c>
      <c r="K10" s="53">
        <f t="shared" si="1"/>
        <v>24000</v>
      </c>
      <c r="L10" s="54">
        <f t="shared" si="2"/>
        <v>312000</v>
      </c>
      <c r="M10" s="28"/>
      <c r="N10" s="28"/>
      <c r="O10" s="28"/>
      <c r="P10" s="28"/>
      <c r="Q10" s="28"/>
      <c r="R10" s="28"/>
      <c r="S10" s="28"/>
      <c r="T10" s="28"/>
      <c r="U10" s="28"/>
    </row>
    <row r="11" spans="1:21" s="1" customFormat="1">
      <c r="A11" s="35"/>
      <c r="B11" s="35"/>
      <c r="C11" s="11" t="s">
        <v>21</v>
      </c>
      <c r="D11" s="20" t="s">
        <v>4</v>
      </c>
      <c r="E11" s="20" t="s">
        <v>7</v>
      </c>
      <c r="F11" s="8">
        <v>50</v>
      </c>
      <c r="G11" s="9">
        <v>20000</v>
      </c>
      <c r="H11" s="9">
        <f t="shared" si="0"/>
        <v>1000000</v>
      </c>
      <c r="I11" s="9" t="s">
        <v>17</v>
      </c>
      <c r="J11" s="28">
        <v>1.2</v>
      </c>
      <c r="K11" s="53">
        <f t="shared" si="1"/>
        <v>24000</v>
      </c>
      <c r="L11" s="54">
        <f t="shared" si="2"/>
        <v>1200000</v>
      </c>
      <c r="M11" s="28"/>
      <c r="N11" s="28"/>
      <c r="O11" s="28"/>
      <c r="P11" s="28"/>
      <c r="Q11" s="28"/>
      <c r="R11" s="28"/>
      <c r="S11" s="28"/>
      <c r="T11" s="28"/>
      <c r="U11" s="28"/>
    </row>
    <row r="12" spans="1:21" s="1" customFormat="1">
      <c r="A12" s="35"/>
      <c r="B12" s="35"/>
      <c r="C12" s="11" t="s">
        <v>25</v>
      </c>
      <c r="D12" s="20" t="s">
        <v>4</v>
      </c>
      <c r="E12" s="20" t="s">
        <v>7</v>
      </c>
      <c r="F12" s="8">
        <v>32</v>
      </c>
      <c r="G12" s="9">
        <v>20000</v>
      </c>
      <c r="H12" s="9">
        <f t="shared" si="0"/>
        <v>640000</v>
      </c>
      <c r="I12" s="9" t="s">
        <v>17</v>
      </c>
      <c r="J12" s="1">
        <v>1.2</v>
      </c>
      <c r="K12" s="53">
        <f t="shared" si="1"/>
        <v>24000</v>
      </c>
      <c r="L12" s="54">
        <f t="shared" si="2"/>
        <v>768000</v>
      </c>
    </row>
    <row r="13" spans="1:21" s="1" customFormat="1">
      <c r="A13" s="35"/>
      <c r="B13" s="35"/>
      <c r="C13" s="11" t="s">
        <v>26</v>
      </c>
      <c r="D13" s="20" t="s">
        <v>4</v>
      </c>
      <c r="E13" s="20" t="s">
        <v>7</v>
      </c>
      <c r="F13" s="8">
        <v>32</v>
      </c>
      <c r="G13" s="9">
        <v>2000</v>
      </c>
      <c r="H13" s="9">
        <f t="shared" si="0"/>
        <v>64000</v>
      </c>
      <c r="I13" s="9" t="s">
        <v>17</v>
      </c>
      <c r="J13" s="1">
        <v>1.2</v>
      </c>
      <c r="K13" s="53">
        <f t="shared" si="1"/>
        <v>2400</v>
      </c>
      <c r="L13" s="54">
        <f t="shared" si="2"/>
        <v>76800</v>
      </c>
    </row>
    <row r="14" spans="1:21" s="1" customFormat="1" ht="33.6" customHeight="1">
      <c r="A14" s="35">
        <v>5</v>
      </c>
      <c r="B14" s="35" t="s">
        <v>3</v>
      </c>
      <c r="C14" s="10" t="s">
        <v>22</v>
      </c>
      <c r="D14" s="20" t="s">
        <v>30</v>
      </c>
      <c r="E14" s="20" t="s">
        <v>14</v>
      </c>
      <c r="F14" s="8">
        <v>100</v>
      </c>
      <c r="G14" s="9">
        <v>20000</v>
      </c>
      <c r="H14" s="9">
        <f t="shared" si="0"/>
        <v>2000000</v>
      </c>
      <c r="I14" s="9" t="s">
        <v>17</v>
      </c>
      <c r="J14" s="1">
        <v>1.2</v>
      </c>
      <c r="K14" s="53">
        <f t="shared" si="1"/>
        <v>24000</v>
      </c>
      <c r="L14" s="54">
        <f t="shared" si="2"/>
        <v>2400000</v>
      </c>
    </row>
    <row r="15" spans="1:21" s="1" customFormat="1" ht="32.450000000000003" customHeight="1">
      <c r="A15" s="35"/>
      <c r="B15" s="35"/>
      <c r="C15" s="10" t="s">
        <v>23</v>
      </c>
      <c r="D15" s="20" t="s">
        <v>30</v>
      </c>
      <c r="E15" s="20" t="s">
        <v>14</v>
      </c>
      <c r="F15" s="8">
        <v>100</v>
      </c>
      <c r="G15" s="9">
        <v>20000</v>
      </c>
      <c r="H15" s="9">
        <f t="shared" si="0"/>
        <v>2000000</v>
      </c>
      <c r="I15" s="9" t="s">
        <v>17</v>
      </c>
      <c r="J15" s="1">
        <v>1.2</v>
      </c>
      <c r="K15" s="53">
        <f t="shared" si="1"/>
        <v>24000</v>
      </c>
      <c r="L15" s="54">
        <f t="shared" si="2"/>
        <v>2400000</v>
      </c>
    </row>
    <row r="16" spans="1:21" s="1" customFormat="1" ht="42.75">
      <c r="A16" s="35"/>
      <c r="B16" s="35"/>
      <c r="C16" s="11" t="s">
        <v>52</v>
      </c>
      <c r="D16" s="20" t="s">
        <v>32</v>
      </c>
      <c r="E16" s="20" t="s">
        <v>14</v>
      </c>
      <c r="F16" s="8">
        <v>20</v>
      </c>
      <c r="G16" s="9">
        <v>80000</v>
      </c>
      <c r="H16" s="9">
        <f t="shared" si="0"/>
        <v>1600000</v>
      </c>
      <c r="I16" s="9" t="s">
        <v>17</v>
      </c>
      <c r="J16" s="1">
        <v>1.2</v>
      </c>
      <c r="K16" s="53">
        <f t="shared" si="1"/>
        <v>96000</v>
      </c>
      <c r="L16" s="54">
        <f t="shared" si="2"/>
        <v>1920000</v>
      </c>
    </row>
    <row r="17" spans="1:12" s="1" customFormat="1" ht="36" customHeight="1">
      <c r="A17" s="35"/>
      <c r="B17" s="35"/>
      <c r="C17" s="10" t="s">
        <v>47</v>
      </c>
      <c r="D17" s="20" t="s">
        <v>4</v>
      </c>
      <c r="E17" s="20" t="s">
        <v>8</v>
      </c>
      <c r="F17" s="8">
        <v>1</v>
      </c>
      <c r="G17" s="9">
        <v>300000</v>
      </c>
      <c r="H17" s="9">
        <f t="shared" si="0"/>
        <v>300000</v>
      </c>
      <c r="I17" s="9" t="s">
        <v>17</v>
      </c>
      <c r="J17" s="1">
        <v>1.2</v>
      </c>
      <c r="K17" s="53">
        <f t="shared" si="1"/>
        <v>360000</v>
      </c>
      <c r="L17" s="54">
        <f t="shared" si="2"/>
        <v>360000</v>
      </c>
    </row>
    <row r="18" spans="1:12" s="1" customFormat="1" ht="26.1" customHeight="1">
      <c r="A18" s="35"/>
      <c r="B18" s="35"/>
      <c r="C18" s="10" t="s">
        <v>13</v>
      </c>
      <c r="D18" s="20" t="s">
        <v>30</v>
      </c>
      <c r="E18" s="20" t="s">
        <v>8</v>
      </c>
      <c r="F18" s="8">
        <v>10</v>
      </c>
      <c r="G18" s="9">
        <v>30000</v>
      </c>
      <c r="H18" s="9">
        <f t="shared" si="0"/>
        <v>300000</v>
      </c>
      <c r="I18" s="9" t="s">
        <v>17</v>
      </c>
      <c r="J18" s="1">
        <v>1.2</v>
      </c>
      <c r="K18" s="53">
        <f t="shared" si="1"/>
        <v>36000</v>
      </c>
      <c r="L18" s="54">
        <f t="shared" si="2"/>
        <v>360000</v>
      </c>
    </row>
    <row r="19" spans="1:12" s="1" customFormat="1" ht="128.44999999999999" customHeight="1">
      <c r="A19" s="20">
        <v>6</v>
      </c>
      <c r="B19" s="26" t="s">
        <v>15</v>
      </c>
      <c r="C19" s="27" t="s">
        <v>96</v>
      </c>
      <c r="D19" s="30" t="s">
        <v>95</v>
      </c>
      <c r="E19" s="30" t="s">
        <v>8</v>
      </c>
      <c r="F19" s="24">
        <v>1</v>
      </c>
      <c r="G19" s="25">
        <v>5700000</v>
      </c>
      <c r="H19" s="9">
        <f t="shared" si="0"/>
        <v>5700000</v>
      </c>
      <c r="I19" s="25" t="s">
        <v>34</v>
      </c>
      <c r="J19" s="1">
        <v>1.2</v>
      </c>
      <c r="K19" s="53">
        <f t="shared" si="1"/>
        <v>6840000</v>
      </c>
      <c r="L19" s="54">
        <f t="shared" si="2"/>
        <v>6840000</v>
      </c>
    </row>
    <row r="20" spans="1:12" s="1" customFormat="1">
      <c r="A20" s="35">
        <v>7</v>
      </c>
      <c r="B20" s="37" t="s">
        <v>5</v>
      </c>
      <c r="C20" s="10" t="s">
        <v>35</v>
      </c>
      <c r="D20" s="20" t="s">
        <v>36</v>
      </c>
      <c r="E20" s="20" t="s">
        <v>14</v>
      </c>
      <c r="F20" s="8">
        <v>60</v>
      </c>
      <c r="G20" s="9">
        <v>15000</v>
      </c>
      <c r="H20" s="9">
        <f t="shared" si="0"/>
        <v>900000</v>
      </c>
      <c r="I20" s="9" t="s">
        <v>34</v>
      </c>
      <c r="J20" s="1">
        <v>1.2</v>
      </c>
      <c r="K20" s="53">
        <f t="shared" si="1"/>
        <v>18000</v>
      </c>
      <c r="L20" s="54">
        <f t="shared" si="2"/>
        <v>1080000</v>
      </c>
    </row>
    <row r="21" spans="1:12" s="1" customFormat="1">
      <c r="A21" s="35"/>
      <c r="B21" s="37"/>
      <c r="C21" s="10" t="s">
        <v>37</v>
      </c>
      <c r="D21" s="20" t="s">
        <v>4</v>
      </c>
      <c r="E21" s="20" t="s">
        <v>7</v>
      </c>
      <c r="F21" s="8">
        <v>2</v>
      </c>
      <c r="G21" s="9">
        <v>250000</v>
      </c>
      <c r="H21" s="9">
        <f t="shared" si="0"/>
        <v>500000</v>
      </c>
      <c r="I21" s="9" t="s">
        <v>34</v>
      </c>
      <c r="J21" s="1">
        <v>1.2</v>
      </c>
      <c r="K21" s="53">
        <f t="shared" si="1"/>
        <v>300000</v>
      </c>
      <c r="L21" s="54">
        <f t="shared" si="2"/>
        <v>600000</v>
      </c>
    </row>
    <row r="22" spans="1:12" s="1" customFormat="1">
      <c r="A22" s="35"/>
      <c r="B22" s="37"/>
      <c r="C22" s="12" t="s">
        <v>19</v>
      </c>
      <c r="D22" s="20" t="s">
        <v>4</v>
      </c>
      <c r="E22" s="20" t="s">
        <v>14</v>
      </c>
      <c r="F22" s="8">
        <v>60</v>
      </c>
      <c r="G22" s="9">
        <v>15000</v>
      </c>
      <c r="H22" s="9">
        <f t="shared" si="0"/>
        <v>900000</v>
      </c>
      <c r="I22" s="9" t="s">
        <v>34</v>
      </c>
      <c r="J22" s="1">
        <v>1.2</v>
      </c>
      <c r="K22" s="53">
        <f t="shared" si="1"/>
        <v>18000</v>
      </c>
      <c r="L22" s="54">
        <f t="shared" si="2"/>
        <v>1080000</v>
      </c>
    </row>
    <row r="23" spans="1:12" s="1" customFormat="1" ht="28.5">
      <c r="A23" s="35">
        <v>8</v>
      </c>
      <c r="B23" s="35" t="s">
        <v>6</v>
      </c>
      <c r="C23" s="12" t="s">
        <v>24</v>
      </c>
      <c r="D23" s="20" t="s">
        <v>1</v>
      </c>
      <c r="E23" s="20" t="s">
        <v>8</v>
      </c>
      <c r="F23" s="8">
        <v>1</v>
      </c>
      <c r="G23" s="9">
        <v>1000000</v>
      </c>
      <c r="H23" s="9">
        <f t="shared" si="0"/>
        <v>1000000</v>
      </c>
      <c r="I23" s="9"/>
      <c r="J23" s="1">
        <v>1.2</v>
      </c>
      <c r="K23" s="53">
        <f t="shared" si="1"/>
        <v>1200000</v>
      </c>
      <c r="L23" s="54">
        <f t="shared" si="2"/>
        <v>1200000</v>
      </c>
    </row>
    <row r="24" spans="1:12" s="1" customFormat="1">
      <c r="A24" s="35"/>
      <c r="B24" s="36"/>
      <c r="C24" s="11" t="s">
        <v>38</v>
      </c>
      <c r="D24" s="20" t="s">
        <v>1</v>
      </c>
      <c r="E24" s="20" t="s">
        <v>8</v>
      </c>
      <c r="F24" s="8">
        <v>10.4</v>
      </c>
      <c r="G24" s="9">
        <v>1000000</v>
      </c>
      <c r="H24" s="9">
        <f t="shared" si="0"/>
        <v>10400000</v>
      </c>
      <c r="I24" s="9"/>
      <c r="J24" s="1">
        <v>1.2</v>
      </c>
      <c r="K24" s="53">
        <f t="shared" si="1"/>
        <v>1200000</v>
      </c>
      <c r="L24" s="54">
        <f t="shared" si="2"/>
        <v>12480000</v>
      </c>
    </row>
    <row r="25" spans="1:12" s="1" customFormat="1" ht="25.7" customHeight="1">
      <c r="A25" s="36" t="s">
        <v>39</v>
      </c>
      <c r="B25" s="36"/>
      <c r="C25" s="36"/>
      <c r="D25" s="36"/>
      <c r="E25" s="36"/>
      <c r="F25" s="13"/>
      <c r="G25" s="13"/>
      <c r="H25" s="14">
        <f>SUM(H2:H24)</f>
        <v>134961851.85185185</v>
      </c>
      <c r="I25" s="10"/>
      <c r="K25" s="53">
        <f t="shared" si="1"/>
        <v>0</v>
      </c>
      <c r="L25" s="54">
        <f>SUM(L2:L24)</f>
        <v>161325148.14814812</v>
      </c>
    </row>
    <row r="26" spans="1:12" ht="27.6" customHeight="1">
      <c r="K26" s="33"/>
    </row>
  </sheetData>
  <mergeCells count="11">
    <mergeCell ref="A20:A22"/>
    <mergeCell ref="B20:B22"/>
    <mergeCell ref="A23:A24"/>
    <mergeCell ref="B23:B24"/>
    <mergeCell ref="A25:E25"/>
    <mergeCell ref="A4:A6"/>
    <mergeCell ref="B4:B6"/>
    <mergeCell ref="A7:A13"/>
    <mergeCell ref="B7:B13"/>
    <mergeCell ref="A14:A18"/>
    <mergeCell ref="B14:B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EE5F2-DFAB-4AEC-A12A-37359F0FE549}">
  <sheetPr>
    <tabColor rgb="FF00B050"/>
  </sheetPr>
  <dimension ref="A1:M26"/>
  <sheetViews>
    <sheetView topLeftCell="D1" workbookViewId="0">
      <pane ySplit="1" topLeftCell="A2" activePane="bottomLeft" state="frozen"/>
      <selection activeCell="D1" sqref="D1"/>
      <selection pane="bottomLeft" activeCell="G1" sqref="G1:J1048576"/>
    </sheetView>
  </sheetViews>
  <sheetFormatPr defaultColWidth="15.7109375" defaultRowHeight="20.25"/>
  <cols>
    <col min="1" max="1" width="4.7109375" style="2" bestFit="1" customWidth="1"/>
    <col min="2" max="2" width="16.42578125" style="3" customWidth="1"/>
    <col min="3" max="3" width="49.85546875" style="2" customWidth="1"/>
    <col min="4" max="4" width="14.42578125" style="4" customWidth="1"/>
    <col min="5" max="5" width="11.140625" style="4" customWidth="1"/>
    <col min="6" max="6" width="16.42578125" style="4" customWidth="1"/>
    <col min="7" max="8" width="16.42578125" style="4" hidden="1" customWidth="1"/>
    <col min="9" max="9" width="12.85546875" style="5" hidden="1" customWidth="1"/>
    <col min="10" max="10" width="0" style="62" hidden="1" customWidth="1"/>
    <col min="11" max="11" width="26.140625" style="59" customWidth="1"/>
    <col min="12" max="12" width="25.140625" style="59" bestFit="1" customWidth="1"/>
    <col min="13" max="16384" width="15.7109375" style="2"/>
  </cols>
  <sheetData>
    <row r="1" spans="1:13" s="1" customFormat="1" ht="37.35" customHeight="1">
      <c r="A1" s="17" t="s">
        <v>46</v>
      </c>
      <c r="B1" s="18" t="s">
        <v>45</v>
      </c>
      <c r="C1" s="18" t="s">
        <v>49</v>
      </c>
      <c r="D1" s="17" t="s">
        <v>44</v>
      </c>
      <c r="E1" s="17" t="s">
        <v>43</v>
      </c>
      <c r="F1" s="7" t="s">
        <v>42</v>
      </c>
      <c r="G1" s="15" t="s">
        <v>48</v>
      </c>
      <c r="H1" s="7" t="s">
        <v>40</v>
      </c>
      <c r="I1" s="16" t="s">
        <v>41</v>
      </c>
      <c r="J1" s="60"/>
      <c r="K1" s="58" t="s">
        <v>103</v>
      </c>
      <c r="L1" s="58" t="s">
        <v>104</v>
      </c>
      <c r="M1" s="28">
        <v>1</v>
      </c>
    </row>
    <row r="2" spans="1:13" s="1" customFormat="1" ht="90.95" customHeight="1">
      <c r="A2" s="20">
        <v>1</v>
      </c>
      <c r="B2" s="20" t="s">
        <v>9</v>
      </c>
      <c r="C2" s="22" t="s">
        <v>59</v>
      </c>
      <c r="D2" s="23" t="s">
        <v>53</v>
      </c>
      <c r="E2" s="26" t="s">
        <v>12</v>
      </c>
      <c r="F2" s="24">
        <v>18</v>
      </c>
      <c r="G2" s="25">
        <f>2380000/1.08</f>
        <v>2203703.7037037034</v>
      </c>
      <c r="H2" s="9">
        <f>F2*G2</f>
        <v>39666666.666666657</v>
      </c>
      <c r="I2" s="9" t="s">
        <v>54</v>
      </c>
      <c r="J2" s="60">
        <v>1.18</v>
      </c>
      <c r="K2" s="63">
        <f>J2*G2</f>
        <v>2600370.3703703699</v>
      </c>
      <c r="L2" s="64">
        <f>K2*F2</f>
        <v>46806666.666666657</v>
      </c>
      <c r="M2" s="28"/>
    </row>
    <row r="3" spans="1:13" s="1" customFormat="1" ht="84.95" customHeight="1">
      <c r="A3" s="20">
        <v>2</v>
      </c>
      <c r="B3" s="20" t="s">
        <v>18</v>
      </c>
      <c r="C3" s="22" t="s">
        <v>93</v>
      </c>
      <c r="D3" s="26" t="s">
        <v>56</v>
      </c>
      <c r="E3" s="24" t="s">
        <v>8</v>
      </c>
      <c r="F3" s="24">
        <v>1</v>
      </c>
      <c r="G3" s="25">
        <f>32300000/1.08</f>
        <v>29907407.407407407</v>
      </c>
      <c r="H3" s="9">
        <f t="shared" ref="H3:H24" si="0">F3*G3</f>
        <v>29907407.407407407</v>
      </c>
      <c r="I3" s="9" t="s">
        <v>57</v>
      </c>
      <c r="J3" s="61">
        <v>1.2</v>
      </c>
      <c r="K3" s="63">
        <f t="shared" ref="K3:K25" si="1">J3*G3</f>
        <v>35888888.888888888</v>
      </c>
      <c r="L3" s="64">
        <f t="shared" ref="L3:L25" si="2">K3*F3</f>
        <v>35888888.888888888</v>
      </c>
      <c r="M3" s="28"/>
    </row>
    <row r="4" spans="1:13" s="1" customFormat="1" ht="71.45" customHeight="1">
      <c r="A4" s="35">
        <v>3</v>
      </c>
      <c r="B4" s="35" t="s">
        <v>10</v>
      </c>
      <c r="C4" s="22" t="s">
        <v>60</v>
      </c>
      <c r="D4" s="26" t="s">
        <v>58</v>
      </c>
      <c r="E4" s="24" t="s">
        <v>8</v>
      </c>
      <c r="F4" s="24">
        <v>1</v>
      </c>
      <c r="G4" s="25">
        <f>43218000/1.08</f>
        <v>40016666.666666664</v>
      </c>
      <c r="H4" s="9">
        <f t="shared" si="0"/>
        <v>40016666.666666664</v>
      </c>
      <c r="I4" s="9" t="s">
        <v>17</v>
      </c>
      <c r="J4" s="61">
        <v>1.18</v>
      </c>
      <c r="K4" s="63">
        <f t="shared" si="1"/>
        <v>47219666.666666664</v>
      </c>
      <c r="L4" s="64">
        <f t="shared" si="2"/>
        <v>47219666.666666664</v>
      </c>
      <c r="M4" s="28"/>
    </row>
    <row r="5" spans="1:13" s="1" customFormat="1" ht="26.45" customHeight="1">
      <c r="A5" s="35"/>
      <c r="B5" s="35"/>
      <c r="C5" s="10" t="s">
        <v>27</v>
      </c>
      <c r="D5" s="20" t="s">
        <v>1</v>
      </c>
      <c r="E5" s="20" t="s">
        <v>8</v>
      </c>
      <c r="F5" s="8">
        <v>1</v>
      </c>
      <c r="G5" s="9">
        <v>800000</v>
      </c>
      <c r="H5" s="9">
        <f t="shared" si="0"/>
        <v>800000</v>
      </c>
      <c r="I5" s="9" t="s">
        <v>17</v>
      </c>
      <c r="J5" s="61">
        <v>1.18</v>
      </c>
      <c r="K5" s="63">
        <f t="shared" si="1"/>
        <v>944000</v>
      </c>
      <c r="L5" s="64">
        <f t="shared" si="2"/>
        <v>944000</v>
      </c>
      <c r="M5" s="28"/>
    </row>
    <row r="6" spans="1:13" s="1" customFormat="1" ht="26.45" customHeight="1">
      <c r="A6" s="35"/>
      <c r="B6" s="35"/>
      <c r="C6" s="10" t="s">
        <v>28</v>
      </c>
      <c r="D6" s="20" t="s">
        <v>4</v>
      </c>
      <c r="E6" s="20" t="s">
        <v>8</v>
      </c>
      <c r="F6" s="8">
        <v>1</v>
      </c>
      <c r="G6" s="9">
        <v>100000</v>
      </c>
      <c r="H6" s="9">
        <f t="shared" si="0"/>
        <v>100000</v>
      </c>
      <c r="I6" s="9" t="s">
        <v>17</v>
      </c>
      <c r="J6" s="61">
        <v>1.18</v>
      </c>
      <c r="K6" s="63">
        <f t="shared" si="1"/>
        <v>118000</v>
      </c>
      <c r="L6" s="64">
        <f t="shared" si="2"/>
        <v>118000</v>
      </c>
      <c r="M6" s="28"/>
    </row>
    <row r="7" spans="1:13" s="1" customFormat="1">
      <c r="A7" s="35">
        <v>4</v>
      </c>
      <c r="B7" s="35" t="s">
        <v>2</v>
      </c>
      <c r="C7" s="11" t="s">
        <v>0</v>
      </c>
      <c r="D7" s="20" t="s">
        <v>4</v>
      </c>
      <c r="E7" s="20" t="s">
        <v>7</v>
      </c>
      <c r="F7" s="8">
        <v>28</v>
      </c>
      <c r="G7" s="9">
        <v>11000</v>
      </c>
      <c r="H7" s="9">
        <f t="shared" si="0"/>
        <v>308000</v>
      </c>
      <c r="I7" s="9" t="s">
        <v>17</v>
      </c>
      <c r="J7" s="61">
        <v>1.2</v>
      </c>
      <c r="K7" s="63">
        <f t="shared" si="1"/>
        <v>13200</v>
      </c>
      <c r="L7" s="64">
        <f t="shared" si="2"/>
        <v>369600</v>
      </c>
      <c r="M7" s="28"/>
    </row>
    <row r="8" spans="1:13" s="1" customFormat="1">
      <c r="A8" s="35"/>
      <c r="B8" s="35"/>
      <c r="C8" s="11" t="s">
        <v>11</v>
      </c>
      <c r="D8" s="20" t="s">
        <v>4</v>
      </c>
      <c r="E8" s="20" t="s">
        <v>7</v>
      </c>
      <c r="F8" s="8">
        <v>32</v>
      </c>
      <c r="G8" s="9">
        <v>11000</v>
      </c>
      <c r="H8" s="9">
        <f t="shared" si="0"/>
        <v>352000</v>
      </c>
      <c r="I8" s="9" t="s">
        <v>17</v>
      </c>
      <c r="J8" s="61">
        <v>1.2</v>
      </c>
      <c r="K8" s="63">
        <f t="shared" si="1"/>
        <v>13200</v>
      </c>
      <c r="L8" s="64">
        <f t="shared" si="2"/>
        <v>422400</v>
      </c>
      <c r="M8" s="28"/>
    </row>
    <row r="9" spans="1:13" s="1" customFormat="1">
      <c r="A9" s="35"/>
      <c r="B9" s="35"/>
      <c r="C9" s="11" t="s">
        <v>29</v>
      </c>
      <c r="D9" s="20" t="s">
        <v>4</v>
      </c>
      <c r="E9" s="20" t="s">
        <v>7</v>
      </c>
      <c r="F9" s="8">
        <v>14</v>
      </c>
      <c r="G9" s="9">
        <v>360000</v>
      </c>
      <c r="H9" s="9">
        <f t="shared" si="0"/>
        <v>5040000</v>
      </c>
      <c r="I9" s="9" t="s">
        <v>17</v>
      </c>
      <c r="J9" s="61">
        <v>1.2</v>
      </c>
      <c r="K9" s="63">
        <f t="shared" si="1"/>
        <v>432000</v>
      </c>
      <c r="L9" s="64">
        <f t="shared" si="2"/>
        <v>6048000</v>
      </c>
      <c r="M9" s="28" t="s">
        <v>86</v>
      </c>
    </row>
    <row r="10" spans="1:13" s="1" customFormat="1">
      <c r="A10" s="35"/>
      <c r="B10" s="35"/>
      <c r="C10" s="11" t="s">
        <v>20</v>
      </c>
      <c r="D10" s="20" t="s">
        <v>4</v>
      </c>
      <c r="E10" s="20" t="s">
        <v>7</v>
      </c>
      <c r="F10" s="8">
        <v>14</v>
      </c>
      <c r="G10" s="9">
        <v>20000</v>
      </c>
      <c r="H10" s="9">
        <f t="shared" si="0"/>
        <v>280000</v>
      </c>
      <c r="I10" s="9" t="s">
        <v>17</v>
      </c>
      <c r="J10" s="61">
        <v>1.2</v>
      </c>
      <c r="K10" s="63">
        <f t="shared" si="1"/>
        <v>24000</v>
      </c>
      <c r="L10" s="64">
        <f t="shared" si="2"/>
        <v>336000</v>
      </c>
      <c r="M10" s="28"/>
    </row>
    <row r="11" spans="1:13" s="1" customFormat="1">
      <c r="A11" s="35"/>
      <c r="B11" s="35"/>
      <c r="C11" s="11" t="s">
        <v>21</v>
      </c>
      <c r="D11" s="20" t="s">
        <v>4</v>
      </c>
      <c r="E11" s="20" t="s">
        <v>7</v>
      </c>
      <c r="F11" s="8">
        <v>55</v>
      </c>
      <c r="G11" s="9">
        <v>20000</v>
      </c>
      <c r="H11" s="9">
        <f t="shared" si="0"/>
        <v>1100000</v>
      </c>
      <c r="I11" s="9" t="s">
        <v>17</v>
      </c>
      <c r="J11" s="61">
        <v>1.2</v>
      </c>
      <c r="K11" s="63">
        <f t="shared" si="1"/>
        <v>24000</v>
      </c>
      <c r="L11" s="64">
        <f t="shared" si="2"/>
        <v>1320000</v>
      </c>
      <c r="M11" s="28"/>
    </row>
    <row r="12" spans="1:13" s="1" customFormat="1">
      <c r="A12" s="35"/>
      <c r="B12" s="35"/>
      <c r="C12" s="11" t="s">
        <v>25</v>
      </c>
      <c r="D12" s="20" t="s">
        <v>4</v>
      </c>
      <c r="E12" s="20" t="s">
        <v>7</v>
      </c>
      <c r="F12" s="8">
        <v>32</v>
      </c>
      <c r="G12" s="9">
        <v>20000</v>
      </c>
      <c r="H12" s="9">
        <f t="shared" si="0"/>
        <v>640000</v>
      </c>
      <c r="I12" s="9" t="s">
        <v>17</v>
      </c>
      <c r="J12" s="60">
        <v>1.2</v>
      </c>
      <c r="K12" s="63">
        <f t="shared" si="1"/>
        <v>24000</v>
      </c>
      <c r="L12" s="64">
        <f t="shared" si="2"/>
        <v>768000</v>
      </c>
    </row>
    <row r="13" spans="1:13" s="1" customFormat="1">
      <c r="A13" s="35"/>
      <c r="B13" s="35"/>
      <c r="C13" s="11" t="s">
        <v>26</v>
      </c>
      <c r="D13" s="20" t="s">
        <v>4</v>
      </c>
      <c r="E13" s="20" t="s">
        <v>7</v>
      </c>
      <c r="F13" s="8">
        <v>32</v>
      </c>
      <c r="G13" s="9">
        <v>2000</v>
      </c>
      <c r="H13" s="9">
        <f t="shared" si="0"/>
        <v>64000</v>
      </c>
      <c r="I13" s="9" t="s">
        <v>17</v>
      </c>
      <c r="J13" s="60">
        <v>1.2</v>
      </c>
      <c r="K13" s="63">
        <f t="shared" si="1"/>
        <v>2400</v>
      </c>
      <c r="L13" s="64">
        <f t="shared" si="2"/>
        <v>76800</v>
      </c>
    </row>
    <row r="14" spans="1:13" s="1" customFormat="1" ht="33.6" customHeight="1">
      <c r="A14" s="35">
        <v>5</v>
      </c>
      <c r="B14" s="35" t="s">
        <v>3</v>
      </c>
      <c r="C14" s="10" t="s">
        <v>22</v>
      </c>
      <c r="D14" s="20" t="s">
        <v>30</v>
      </c>
      <c r="E14" s="20" t="s">
        <v>14</v>
      </c>
      <c r="F14" s="8">
        <v>105</v>
      </c>
      <c r="G14" s="9">
        <v>20000</v>
      </c>
      <c r="H14" s="9">
        <f t="shared" si="0"/>
        <v>2100000</v>
      </c>
      <c r="I14" s="9" t="s">
        <v>17</v>
      </c>
      <c r="J14" s="60">
        <v>1.2</v>
      </c>
      <c r="K14" s="63">
        <f t="shared" si="1"/>
        <v>24000</v>
      </c>
      <c r="L14" s="64">
        <f t="shared" si="2"/>
        <v>2520000</v>
      </c>
    </row>
    <row r="15" spans="1:13" s="1" customFormat="1" ht="32.450000000000003" customHeight="1">
      <c r="A15" s="35"/>
      <c r="B15" s="35"/>
      <c r="C15" s="10" t="s">
        <v>23</v>
      </c>
      <c r="D15" s="20" t="s">
        <v>30</v>
      </c>
      <c r="E15" s="20" t="s">
        <v>14</v>
      </c>
      <c r="F15" s="8">
        <v>105</v>
      </c>
      <c r="G15" s="9">
        <v>20000</v>
      </c>
      <c r="H15" s="9">
        <f t="shared" si="0"/>
        <v>2100000</v>
      </c>
      <c r="I15" s="9" t="s">
        <v>17</v>
      </c>
      <c r="J15" s="60">
        <v>1.2</v>
      </c>
      <c r="K15" s="63">
        <f t="shared" si="1"/>
        <v>24000</v>
      </c>
      <c r="L15" s="64">
        <f t="shared" si="2"/>
        <v>2520000</v>
      </c>
    </row>
    <row r="16" spans="1:13" s="1" customFormat="1" ht="42.75">
      <c r="A16" s="35"/>
      <c r="B16" s="35"/>
      <c r="C16" s="11" t="s">
        <v>52</v>
      </c>
      <c r="D16" s="20" t="s">
        <v>32</v>
      </c>
      <c r="E16" s="20" t="s">
        <v>14</v>
      </c>
      <c r="F16" s="8">
        <v>20</v>
      </c>
      <c r="G16" s="9">
        <v>80000</v>
      </c>
      <c r="H16" s="9">
        <f t="shared" si="0"/>
        <v>1600000</v>
      </c>
      <c r="I16" s="9" t="s">
        <v>17</v>
      </c>
      <c r="J16" s="60">
        <v>1.2</v>
      </c>
      <c r="K16" s="63">
        <f t="shared" si="1"/>
        <v>96000</v>
      </c>
      <c r="L16" s="64">
        <f t="shared" si="2"/>
        <v>1920000</v>
      </c>
    </row>
    <row r="17" spans="1:12" s="1" customFormat="1" ht="36" customHeight="1">
      <c r="A17" s="35"/>
      <c r="B17" s="35"/>
      <c r="C17" s="10" t="s">
        <v>47</v>
      </c>
      <c r="D17" s="20" t="s">
        <v>4</v>
      </c>
      <c r="E17" s="20" t="s">
        <v>8</v>
      </c>
      <c r="F17" s="8">
        <v>1</v>
      </c>
      <c r="G17" s="9">
        <v>300000</v>
      </c>
      <c r="H17" s="9">
        <f t="shared" si="0"/>
        <v>300000</v>
      </c>
      <c r="I17" s="9" t="s">
        <v>17</v>
      </c>
      <c r="J17" s="60">
        <v>1.2</v>
      </c>
      <c r="K17" s="63">
        <f t="shared" si="1"/>
        <v>360000</v>
      </c>
      <c r="L17" s="64">
        <f t="shared" si="2"/>
        <v>360000</v>
      </c>
    </row>
    <row r="18" spans="1:12" s="1" customFormat="1" ht="26.1" customHeight="1">
      <c r="A18" s="35"/>
      <c r="B18" s="35"/>
      <c r="C18" s="10" t="s">
        <v>13</v>
      </c>
      <c r="D18" s="20" t="s">
        <v>30</v>
      </c>
      <c r="E18" s="20" t="s">
        <v>8</v>
      </c>
      <c r="F18" s="8">
        <v>10</v>
      </c>
      <c r="G18" s="9">
        <v>30000</v>
      </c>
      <c r="H18" s="9">
        <f t="shared" si="0"/>
        <v>300000</v>
      </c>
      <c r="I18" s="9" t="s">
        <v>17</v>
      </c>
      <c r="J18" s="60">
        <v>1.2</v>
      </c>
      <c r="K18" s="63">
        <f t="shared" si="1"/>
        <v>36000</v>
      </c>
      <c r="L18" s="64">
        <f t="shared" si="2"/>
        <v>360000</v>
      </c>
    </row>
    <row r="19" spans="1:12" s="1" customFormat="1" ht="128.44999999999999" customHeight="1">
      <c r="A19" s="20">
        <v>6</v>
      </c>
      <c r="B19" s="26" t="s">
        <v>15</v>
      </c>
      <c r="C19" s="27" t="s">
        <v>97</v>
      </c>
      <c r="D19" s="30" t="s">
        <v>95</v>
      </c>
      <c r="E19" s="30" t="s">
        <v>8</v>
      </c>
      <c r="F19" s="24">
        <v>1</v>
      </c>
      <c r="G19" s="25">
        <v>5800000</v>
      </c>
      <c r="H19" s="9">
        <f t="shared" si="0"/>
        <v>5800000</v>
      </c>
      <c r="I19" s="25" t="s">
        <v>34</v>
      </c>
      <c r="J19" s="60">
        <v>1.2</v>
      </c>
      <c r="K19" s="63">
        <f t="shared" si="1"/>
        <v>6960000</v>
      </c>
      <c r="L19" s="64">
        <f t="shared" si="2"/>
        <v>6960000</v>
      </c>
    </row>
    <row r="20" spans="1:12" s="1" customFormat="1">
      <c r="A20" s="35">
        <v>7</v>
      </c>
      <c r="B20" s="37" t="s">
        <v>5</v>
      </c>
      <c r="C20" s="10" t="s">
        <v>35</v>
      </c>
      <c r="D20" s="20" t="s">
        <v>36</v>
      </c>
      <c r="E20" s="20" t="s">
        <v>14</v>
      </c>
      <c r="F20" s="8">
        <v>60</v>
      </c>
      <c r="G20" s="9">
        <v>15000</v>
      </c>
      <c r="H20" s="9">
        <f t="shared" si="0"/>
        <v>900000</v>
      </c>
      <c r="I20" s="9" t="s">
        <v>34</v>
      </c>
      <c r="J20" s="60">
        <v>1.2</v>
      </c>
      <c r="K20" s="63">
        <f t="shared" si="1"/>
        <v>18000</v>
      </c>
      <c r="L20" s="64">
        <f t="shared" si="2"/>
        <v>1080000</v>
      </c>
    </row>
    <row r="21" spans="1:12" s="1" customFormat="1">
      <c r="A21" s="35"/>
      <c r="B21" s="37"/>
      <c r="C21" s="10" t="s">
        <v>37</v>
      </c>
      <c r="D21" s="20" t="s">
        <v>4</v>
      </c>
      <c r="E21" s="20" t="s">
        <v>7</v>
      </c>
      <c r="F21" s="8">
        <v>2</v>
      </c>
      <c r="G21" s="9">
        <v>250000</v>
      </c>
      <c r="H21" s="9">
        <f t="shared" si="0"/>
        <v>500000</v>
      </c>
      <c r="I21" s="9" t="s">
        <v>34</v>
      </c>
      <c r="J21" s="60">
        <v>1.2</v>
      </c>
      <c r="K21" s="63">
        <f t="shared" si="1"/>
        <v>300000</v>
      </c>
      <c r="L21" s="64">
        <f t="shared" si="2"/>
        <v>600000</v>
      </c>
    </row>
    <row r="22" spans="1:12" s="1" customFormat="1">
      <c r="A22" s="35"/>
      <c r="B22" s="37"/>
      <c r="C22" s="12" t="s">
        <v>19</v>
      </c>
      <c r="D22" s="20" t="s">
        <v>4</v>
      </c>
      <c r="E22" s="20" t="s">
        <v>14</v>
      </c>
      <c r="F22" s="8">
        <v>60</v>
      </c>
      <c r="G22" s="9">
        <v>15000</v>
      </c>
      <c r="H22" s="9">
        <f t="shared" si="0"/>
        <v>900000</v>
      </c>
      <c r="I22" s="9" t="s">
        <v>34</v>
      </c>
      <c r="J22" s="60">
        <v>1.2</v>
      </c>
      <c r="K22" s="63">
        <f t="shared" si="1"/>
        <v>18000</v>
      </c>
      <c r="L22" s="64">
        <f t="shared" si="2"/>
        <v>1080000</v>
      </c>
    </row>
    <row r="23" spans="1:12" s="1" customFormat="1" ht="28.5">
      <c r="A23" s="35">
        <v>8</v>
      </c>
      <c r="B23" s="35" t="s">
        <v>6</v>
      </c>
      <c r="C23" s="12" t="s">
        <v>24</v>
      </c>
      <c r="D23" s="20" t="s">
        <v>1</v>
      </c>
      <c r="E23" s="20" t="s">
        <v>8</v>
      </c>
      <c r="F23" s="8">
        <v>1</v>
      </c>
      <c r="G23" s="9">
        <v>1000000</v>
      </c>
      <c r="H23" s="9">
        <f t="shared" si="0"/>
        <v>1000000</v>
      </c>
      <c r="I23" s="9"/>
      <c r="J23" s="60">
        <v>1.2</v>
      </c>
      <c r="K23" s="63">
        <f t="shared" si="1"/>
        <v>1200000</v>
      </c>
      <c r="L23" s="64">
        <f t="shared" si="2"/>
        <v>1200000</v>
      </c>
    </row>
    <row r="24" spans="1:12" s="1" customFormat="1">
      <c r="A24" s="35"/>
      <c r="B24" s="36"/>
      <c r="C24" s="11" t="s">
        <v>38</v>
      </c>
      <c r="D24" s="20" t="s">
        <v>1</v>
      </c>
      <c r="E24" s="20" t="s">
        <v>8</v>
      </c>
      <c r="F24" s="8">
        <v>12</v>
      </c>
      <c r="G24" s="9">
        <v>1000000</v>
      </c>
      <c r="H24" s="9">
        <f t="shared" si="0"/>
        <v>12000000</v>
      </c>
      <c r="I24" s="9"/>
      <c r="J24" s="60">
        <v>1.2</v>
      </c>
      <c r="K24" s="63">
        <f t="shared" si="1"/>
        <v>1200000</v>
      </c>
      <c r="L24" s="64">
        <f t="shared" si="2"/>
        <v>14400000</v>
      </c>
    </row>
    <row r="25" spans="1:12" s="1" customFormat="1" ht="25.7" customHeight="1">
      <c r="A25" s="36" t="s">
        <v>39</v>
      </c>
      <c r="B25" s="36"/>
      <c r="C25" s="36"/>
      <c r="D25" s="36"/>
      <c r="E25" s="36"/>
      <c r="F25" s="13"/>
      <c r="G25" s="13"/>
      <c r="H25" s="14">
        <f>SUM(H2:H24)</f>
        <v>145774740.74074072</v>
      </c>
      <c r="I25" s="10"/>
      <c r="J25" s="60">
        <v>1.2</v>
      </c>
      <c r="K25" s="63">
        <f t="shared" si="1"/>
        <v>0</v>
      </c>
      <c r="L25" s="64">
        <f>SUM(L2:L24)</f>
        <v>173318022.22222221</v>
      </c>
    </row>
    <row r="26" spans="1:12" ht="27.6" customHeight="1"/>
  </sheetData>
  <mergeCells count="11">
    <mergeCell ref="A20:A22"/>
    <mergeCell ref="B20:B22"/>
    <mergeCell ref="A23:A24"/>
    <mergeCell ref="B23:B24"/>
    <mergeCell ref="A25:E25"/>
    <mergeCell ref="A4:A6"/>
    <mergeCell ref="B4:B6"/>
    <mergeCell ref="A7:A13"/>
    <mergeCell ref="B7:B13"/>
    <mergeCell ref="A14:A18"/>
    <mergeCell ref="B14:B1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AEF4B-4F1C-4FD4-8142-64F651B654C7}">
  <sheetPr>
    <tabColor rgb="FF00B050"/>
  </sheetPr>
  <dimension ref="A1:L26"/>
  <sheetViews>
    <sheetView topLeftCell="D1" zoomScale="80" zoomScaleNormal="80" workbookViewId="0">
      <pane ySplit="1" topLeftCell="A2" activePane="bottomLeft" state="frozen"/>
      <selection activeCell="D1" sqref="D1"/>
      <selection pane="bottomLeft" activeCell="G1" sqref="G1:J1048576"/>
    </sheetView>
  </sheetViews>
  <sheetFormatPr defaultColWidth="15.7109375" defaultRowHeight="20.25"/>
  <cols>
    <col min="1" max="1" width="4.7109375" style="2" bestFit="1" customWidth="1"/>
    <col min="2" max="2" width="16.42578125" style="3" customWidth="1"/>
    <col min="3" max="3" width="49.85546875" style="2" customWidth="1"/>
    <col min="4" max="4" width="13.28515625" style="4" customWidth="1"/>
    <col min="5" max="5" width="11.140625" style="4" customWidth="1"/>
    <col min="6" max="6" width="16.42578125" style="4" customWidth="1"/>
    <col min="7" max="8" width="16.42578125" style="4" hidden="1" customWidth="1"/>
    <col min="9" max="9" width="12.85546875" style="5" hidden="1" customWidth="1"/>
    <col min="10" max="10" width="16" style="66" hidden="1" customWidth="1"/>
    <col min="11" max="12" width="24.42578125" style="66" bestFit="1" customWidth="1"/>
    <col min="13" max="16384" width="15.7109375" style="2"/>
  </cols>
  <sheetData>
    <row r="1" spans="1:12" s="1" customFormat="1" ht="37.35" customHeight="1">
      <c r="A1" s="17" t="s">
        <v>46</v>
      </c>
      <c r="B1" s="18" t="s">
        <v>45</v>
      </c>
      <c r="C1" s="18" t="s">
        <v>49</v>
      </c>
      <c r="D1" s="17" t="s">
        <v>44</v>
      </c>
      <c r="E1" s="17" t="s">
        <v>43</v>
      </c>
      <c r="F1" s="7" t="s">
        <v>42</v>
      </c>
      <c r="G1" s="15" t="s">
        <v>48</v>
      </c>
      <c r="H1" s="7" t="s">
        <v>40</v>
      </c>
      <c r="I1" s="16" t="s">
        <v>41</v>
      </c>
      <c r="J1" s="67"/>
      <c r="K1" s="57" t="s">
        <v>103</v>
      </c>
      <c r="L1" s="57" t="s">
        <v>104</v>
      </c>
    </row>
    <row r="2" spans="1:12" s="1" customFormat="1" ht="90.95" customHeight="1">
      <c r="A2" s="6">
        <v>1</v>
      </c>
      <c r="B2" s="6" t="s">
        <v>9</v>
      </c>
      <c r="C2" s="22" t="s">
        <v>59</v>
      </c>
      <c r="D2" s="23" t="s">
        <v>53</v>
      </c>
      <c r="E2" s="26" t="s">
        <v>12</v>
      </c>
      <c r="F2" s="24">
        <v>20</v>
      </c>
      <c r="G2" s="25">
        <f>2380000/1.08</f>
        <v>2203703.7037037034</v>
      </c>
      <c r="H2" s="9">
        <f>F2*G2</f>
        <v>44074074.074074067</v>
      </c>
      <c r="I2" s="9" t="s">
        <v>16</v>
      </c>
      <c r="J2" s="67">
        <v>1.18</v>
      </c>
      <c r="K2" s="67">
        <f>J2*G2</f>
        <v>2600370.3703703699</v>
      </c>
      <c r="L2" s="67">
        <f>K2*F2</f>
        <v>52007407.407407396</v>
      </c>
    </row>
    <row r="3" spans="1:12" s="1" customFormat="1" ht="83.1" customHeight="1">
      <c r="A3" s="6">
        <v>2</v>
      </c>
      <c r="B3" s="6" t="s">
        <v>18</v>
      </c>
      <c r="C3" s="22" t="s">
        <v>93</v>
      </c>
      <c r="D3" s="26" t="s">
        <v>56</v>
      </c>
      <c r="E3" s="24" t="s">
        <v>8</v>
      </c>
      <c r="F3" s="24">
        <v>1</v>
      </c>
      <c r="G3" s="25">
        <f>32300000/1.08</f>
        <v>29907407.407407407</v>
      </c>
      <c r="H3" s="9">
        <f t="shared" ref="H3" si="0">F3*G3</f>
        <v>29907407.407407407</v>
      </c>
      <c r="I3" s="9" t="s">
        <v>17</v>
      </c>
      <c r="J3" s="67">
        <v>1.2</v>
      </c>
      <c r="K3" s="67">
        <f t="shared" ref="K3:K25" si="1">J3*G3</f>
        <v>35888888.888888888</v>
      </c>
      <c r="L3" s="67">
        <f t="shared" ref="L3:L24" si="2">K3*F3</f>
        <v>35888888.888888888</v>
      </c>
    </row>
    <row r="4" spans="1:12" s="1" customFormat="1" ht="71.45" customHeight="1">
      <c r="A4" s="35">
        <v>3</v>
      </c>
      <c r="B4" s="35" t="s">
        <v>10</v>
      </c>
      <c r="C4" s="22" t="s">
        <v>60</v>
      </c>
      <c r="D4" s="26" t="s">
        <v>58</v>
      </c>
      <c r="E4" s="24" t="s">
        <v>8</v>
      </c>
      <c r="F4" s="24">
        <v>1</v>
      </c>
      <c r="G4" s="25">
        <f>43218000/1.08</f>
        <v>40016666.666666664</v>
      </c>
      <c r="H4" s="9">
        <f>F4*G4</f>
        <v>40016666.666666664</v>
      </c>
      <c r="I4" s="9" t="s">
        <v>17</v>
      </c>
      <c r="J4" s="68">
        <v>1.18</v>
      </c>
      <c r="K4" s="67">
        <f t="shared" si="1"/>
        <v>47219666.666666664</v>
      </c>
      <c r="L4" s="67">
        <f t="shared" si="2"/>
        <v>47219666.666666664</v>
      </c>
    </row>
    <row r="5" spans="1:12" s="1" customFormat="1" ht="26.45" customHeight="1">
      <c r="A5" s="35"/>
      <c r="B5" s="35"/>
      <c r="C5" s="10" t="s">
        <v>27</v>
      </c>
      <c r="D5" s="6" t="s">
        <v>1</v>
      </c>
      <c r="E5" s="6" t="s">
        <v>8</v>
      </c>
      <c r="F5" s="24">
        <v>1</v>
      </c>
      <c r="G5" s="9">
        <v>800000</v>
      </c>
      <c r="H5" s="9">
        <f t="shared" ref="H5:H24" si="3">F5*G5</f>
        <v>800000</v>
      </c>
      <c r="I5" s="9" t="s">
        <v>17</v>
      </c>
      <c r="J5" s="68">
        <v>1.18</v>
      </c>
      <c r="K5" s="67">
        <f t="shared" si="1"/>
        <v>944000</v>
      </c>
      <c r="L5" s="67">
        <f t="shared" si="2"/>
        <v>944000</v>
      </c>
    </row>
    <row r="6" spans="1:12" s="1" customFormat="1" ht="26.45" customHeight="1">
      <c r="A6" s="35"/>
      <c r="B6" s="35"/>
      <c r="C6" s="10" t="s">
        <v>28</v>
      </c>
      <c r="D6" s="6" t="s">
        <v>4</v>
      </c>
      <c r="E6" s="6" t="s">
        <v>8</v>
      </c>
      <c r="F6" s="24">
        <v>1</v>
      </c>
      <c r="G6" s="9">
        <v>100000</v>
      </c>
      <c r="H6" s="9">
        <f t="shared" si="3"/>
        <v>100000</v>
      </c>
      <c r="I6" s="9" t="s">
        <v>17</v>
      </c>
      <c r="J6" s="68">
        <v>1.18</v>
      </c>
      <c r="K6" s="67">
        <f t="shared" si="1"/>
        <v>118000</v>
      </c>
      <c r="L6" s="67">
        <f t="shared" si="2"/>
        <v>118000</v>
      </c>
    </row>
    <row r="7" spans="1:12" s="1" customFormat="1">
      <c r="A7" s="35">
        <v>4</v>
      </c>
      <c r="B7" s="35" t="s">
        <v>2</v>
      </c>
      <c r="C7" s="11" t="s">
        <v>0</v>
      </c>
      <c r="D7" s="6" t="s">
        <v>4</v>
      </c>
      <c r="E7" s="6" t="s">
        <v>7</v>
      </c>
      <c r="F7" s="24">
        <v>25</v>
      </c>
      <c r="G7" s="9">
        <v>11000</v>
      </c>
      <c r="H7" s="9">
        <f t="shared" si="3"/>
        <v>275000</v>
      </c>
      <c r="I7" s="9" t="s">
        <v>17</v>
      </c>
      <c r="J7" s="68">
        <v>1.2</v>
      </c>
      <c r="K7" s="67">
        <f t="shared" si="1"/>
        <v>13200</v>
      </c>
      <c r="L7" s="67">
        <f t="shared" si="2"/>
        <v>330000</v>
      </c>
    </row>
    <row r="8" spans="1:12" s="1" customFormat="1">
      <c r="A8" s="35"/>
      <c r="B8" s="35"/>
      <c r="C8" s="11" t="s">
        <v>11</v>
      </c>
      <c r="D8" s="6" t="s">
        <v>4</v>
      </c>
      <c r="E8" s="6" t="s">
        <v>7</v>
      </c>
      <c r="F8" s="24">
        <v>35</v>
      </c>
      <c r="G8" s="9">
        <v>11000</v>
      </c>
      <c r="H8" s="9">
        <f t="shared" si="3"/>
        <v>385000</v>
      </c>
      <c r="I8" s="9" t="s">
        <v>17</v>
      </c>
      <c r="J8" s="68">
        <v>1.2</v>
      </c>
      <c r="K8" s="67">
        <f t="shared" si="1"/>
        <v>13200</v>
      </c>
      <c r="L8" s="67">
        <f t="shared" si="2"/>
        <v>462000</v>
      </c>
    </row>
    <row r="9" spans="1:12" s="1" customFormat="1">
      <c r="A9" s="35"/>
      <c r="B9" s="35"/>
      <c r="C9" s="11" t="s">
        <v>29</v>
      </c>
      <c r="D9" s="6" t="s">
        <v>4</v>
      </c>
      <c r="E9" s="6" t="s">
        <v>7</v>
      </c>
      <c r="F9" s="24">
        <v>14</v>
      </c>
      <c r="G9" s="9">
        <v>360000</v>
      </c>
      <c r="H9" s="9">
        <f t="shared" si="3"/>
        <v>5040000</v>
      </c>
      <c r="I9" s="9" t="s">
        <v>17</v>
      </c>
      <c r="J9" s="68">
        <v>1.2</v>
      </c>
      <c r="K9" s="67">
        <f t="shared" si="1"/>
        <v>432000</v>
      </c>
      <c r="L9" s="67">
        <f t="shared" si="2"/>
        <v>6048000</v>
      </c>
    </row>
    <row r="10" spans="1:12" s="1" customFormat="1">
      <c r="A10" s="35"/>
      <c r="B10" s="35"/>
      <c r="C10" s="11" t="s">
        <v>20</v>
      </c>
      <c r="D10" s="6" t="s">
        <v>4</v>
      </c>
      <c r="E10" s="6" t="s">
        <v>7</v>
      </c>
      <c r="F10" s="24">
        <v>14</v>
      </c>
      <c r="G10" s="9">
        <v>20000</v>
      </c>
      <c r="H10" s="9">
        <f t="shared" si="3"/>
        <v>280000</v>
      </c>
      <c r="I10" s="9" t="s">
        <v>17</v>
      </c>
      <c r="J10" s="68">
        <v>1.2</v>
      </c>
      <c r="K10" s="67">
        <f t="shared" si="1"/>
        <v>24000</v>
      </c>
      <c r="L10" s="67">
        <f t="shared" si="2"/>
        <v>336000</v>
      </c>
    </row>
    <row r="11" spans="1:12" s="1" customFormat="1">
      <c r="A11" s="35"/>
      <c r="B11" s="35"/>
      <c r="C11" s="11" t="s">
        <v>21</v>
      </c>
      <c r="D11" s="6" t="s">
        <v>4</v>
      </c>
      <c r="E11" s="6" t="s">
        <v>7</v>
      </c>
      <c r="F11" s="8">
        <v>66</v>
      </c>
      <c r="G11" s="9">
        <v>20000</v>
      </c>
      <c r="H11" s="9">
        <f t="shared" si="3"/>
        <v>1320000</v>
      </c>
      <c r="I11" s="9" t="s">
        <v>17</v>
      </c>
      <c r="J11" s="68">
        <v>1.2</v>
      </c>
      <c r="K11" s="67">
        <f t="shared" si="1"/>
        <v>24000</v>
      </c>
      <c r="L11" s="67">
        <f t="shared" si="2"/>
        <v>1584000</v>
      </c>
    </row>
    <row r="12" spans="1:12" s="1" customFormat="1">
      <c r="A12" s="35"/>
      <c r="B12" s="35"/>
      <c r="C12" s="11" t="s">
        <v>25</v>
      </c>
      <c r="D12" s="6" t="s">
        <v>4</v>
      </c>
      <c r="E12" s="6" t="s">
        <v>7</v>
      </c>
      <c r="F12" s="8">
        <v>35</v>
      </c>
      <c r="G12" s="9">
        <v>20000</v>
      </c>
      <c r="H12" s="9">
        <f t="shared" si="3"/>
        <v>700000</v>
      </c>
      <c r="I12" s="9" t="s">
        <v>17</v>
      </c>
      <c r="J12" s="68">
        <v>1.2</v>
      </c>
      <c r="K12" s="67">
        <f t="shared" si="1"/>
        <v>24000</v>
      </c>
      <c r="L12" s="67">
        <f t="shared" si="2"/>
        <v>840000</v>
      </c>
    </row>
    <row r="13" spans="1:12" s="1" customFormat="1">
      <c r="A13" s="35"/>
      <c r="B13" s="35"/>
      <c r="C13" s="11" t="s">
        <v>26</v>
      </c>
      <c r="D13" s="6" t="s">
        <v>4</v>
      </c>
      <c r="E13" s="6" t="s">
        <v>7</v>
      </c>
      <c r="F13" s="8">
        <f>F8</f>
        <v>35</v>
      </c>
      <c r="G13" s="9">
        <v>2000</v>
      </c>
      <c r="H13" s="9">
        <f t="shared" si="3"/>
        <v>70000</v>
      </c>
      <c r="I13" s="9" t="s">
        <v>17</v>
      </c>
      <c r="J13" s="67">
        <v>1.2</v>
      </c>
      <c r="K13" s="67">
        <f t="shared" si="1"/>
        <v>2400</v>
      </c>
      <c r="L13" s="67">
        <f t="shared" si="2"/>
        <v>84000</v>
      </c>
    </row>
    <row r="14" spans="1:12" s="1" customFormat="1" ht="33.6" customHeight="1">
      <c r="A14" s="35">
        <v>5</v>
      </c>
      <c r="B14" s="35" t="s">
        <v>3</v>
      </c>
      <c r="C14" s="10" t="s">
        <v>22</v>
      </c>
      <c r="D14" s="6" t="s">
        <v>30</v>
      </c>
      <c r="E14" s="6" t="s">
        <v>14</v>
      </c>
      <c r="F14" s="8">
        <v>100</v>
      </c>
      <c r="G14" s="9">
        <v>20000</v>
      </c>
      <c r="H14" s="9">
        <f t="shared" si="3"/>
        <v>2000000</v>
      </c>
      <c r="I14" s="9" t="s">
        <v>17</v>
      </c>
      <c r="J14" s="67">
        <v>1.2</v>
      </c>
      <c r="K14" s="67">
        <f t="shared" si="1"/>
        <v>24000</v>
      </c>
      <c r="L14" s="67">
        <f t="shared" si="2"/>
        <v>2400000</v>
      </c>
    </row>
    <row r="15" spans="1:12" s="1" customFormat="1" ht="32.450000000000003" customHeight="1">
      <c r="A15" s="35"/>
      <c r="B15" s="35"/>
      <c r="C15" s="10" t="s">
        <v>23</v>
      </c>
      <c r="D15" s="6" t="s">
        <v>30</v>
      </c>
      <c r="E15" s="6" t="s">
        <v>14</v>
      </c>
      <c r="F15" s="8">
        <v>100</v>
      </c>
      <c r="G15" s="9">
        <v>20000</v>
      </c>
      <c r="H15" s="9">
        <f t="shared" si="3"/>
        <v>2000000</v>
      </c>
      <c r="I15" s="9" t="s">
        <v>17</v>
      </c>
      <c r="J15" s="67">
        <v>1.2</v>
      </c>
      <c r="K15" s="67">
        <f t="shared" si="1"/>
        <v>24000</v>
      </c>
      <c r="L15" s="67">
        <f t="shared" si="2"/>
        <v>2400000</v>
      </c>
    </row>
    <row r="16" spans="1:12" s="1" customFormat="1" ht="57">
      <c r="A16" s="35"/>
      <c r="B16" s="35"/>
      <c r="C16" s="10" t="s">
        <v>50</v>
      </c>
      <c r="D16" s="6" t="s">
        <v>51</v>
      </c>
      <c r="E16" s="6" t="s">
        <v>14</v>
      </c>
      <c r="F16" s="8">
        <v>20</v>
      </c>
      <c r="G16" s="9">
        <v>150000</v>
      </c>
      <c r="H16" s="9">
        <f t="shared" si="3"/>
        <v>3000000</v>
      </c>
      <c r="I16" s="9" t="s">
        <v>17</v>
      </c>
      <c r="J16" s="67">
        <v>1.2</v>
      </c>
      <c r="K16" s="67">
        <f t="shared" si="1"/>
        <v>180000</v>
      </c>
      <c r="L16" s="67">
        <f t="shared" si="2"/>
        <v>3600000</v>
      </c>
    </row>
    <row r="17" spans="1:12" s="1" customFormat="1" ht="36" customHeight="1">
      <c r="A17" s="35"/>
      <c r="B17" s="35"/>
      <c r="C17" s="10" t="s">
        <v>47</v>
      </c>
      <c r="D17" s="6" t="s">
        <v>4</v>
      </c>
      <c r="E17" s="6" t="s">
        <v>8</v>
      </c>
      <c r="F17" s="8">
        <v>1</v>
      </c>
      <c r="G17" s="9">
        <v>300000</v>
      </c>
      <c r="H17" s="9">
        <f t="shared" si="3"/>
        <v>300000</v>
      </c>
      <c r="I17" s="9" t="s">
        <v>17</v>
      </c>
      <c r="J17" s="67">
        <v>1.2</v>
      </c>
      <c r="K17" s="67">
        <f t="shared" si="1"/>
        <v>360000</v>
      </c>
      <c r="L17" s="67">
        <f t="shared" si="2"/>
        <v>360000</v>
      </c>
    </row>
    <row r="18" spans="1:12" s="1" customFormat="1" ht="26.1" customHeight="1">
      <c r="A18" s="35"/>
      <c r="B18" s="35"/>
      <c r="C18" s="10" t="s">
        <v>13</v>
      </c>
      <c r="D18" s="6" t="s">
        <v>30</v>
      </c>
      <c r="E18" s="6" t="s">
        <v>8</v>
      </c>
      <c r="F18" s="8">
        <v>10</v>
      </c>
      <c r="G18" s="9">
        <v>30000</v>
      </c>
      <c r="H18" s="9">
        <f t="shared" si="3"/>
        <v>300000</v>
      </c>
      <c r="I18" s="9" t="s">
        <v>17</v>
      </c>
      <c r="J18" s="67">
        <v>1.2</v>
      </c>
      <c r="K18" s="67">
        <f t="shared" si="1"/>
        <v>36000</v>
      </c>
      <c r="L18" s="67">
        <f t="shared" si="2"/>
        <v>360000</v>
      </c>
    </row>
    <row r="19" spans="1:12" s="1" customFormat="1" ht="138" customHeight="1">
      <c r="A19" s="6">
        <v>6</v>
      </c>
      <c r="B19" s="6" t="s">
        <v>15</v>
      </c>
      <c r="C19" s="27" t="s">
        <v>97</v>
      </c>
      <c r="D19" s="30" t="s">
        <v>95</v>
      </c>
      <c r="E19" s="30" t="s">
        <v>8</v>
      </c>
      <c r="F19" s="24">
        <v>1</v>
      </c>
      <c r="G19" s="25">
        <v>5800000</v>
      </c>
      <c r="H19" s="9">
        <f t="shared" si="3"/>
        <v>5800000</v>
      </c>
      <c r="I19" s="9" t="s">
        <v>34</v>
      </c>
      <c r="J19" s="67">
        <v>1.2</v>
      </c>
      <c r="K19" s="67">
        <f t="shared" si="1"/>
        <v>6960000</v>
      </c>
      <c r="L19" s="67">
        <f t="shared" si="2"/>
        <v>6960000</v>
      </c>
    </row>
    <row r="20" spans="1:12" s="1" customFormat="1">
      <c r="A20" s="35">
        <v>7</v>
      </c>
      <c r="B20" s="37" t="s">
        <v>5</v>
      </c>
      <c r="C20" s="10" t="s">
        <v>35</v>
      </c>
      <c r="D20" s="6" t="s">
        <v>36</v>
      </c>
      <c r="E20" s="6" t="s">
        <v>14</v>
      </c>
      <c r="F20" s="8">
        <v>60</v>
      </c>
      <c r="G20" s="9">
        <v>15000</v>
      </c>
      <c r="H20" s="9">
        <f t="shared" si="3"/>
        <v>900000</v>
      </c>
      <c r="I20" s="9" t="s">
        <v>34</v>
      </c>
      <c r="J20" s="67">
        <v>1.2</v>
      </c>
      <c r="K20" s="67">
        <f t="shared" si="1"/>
        <v>18000</v>
      </c>
      <c r="L20" s="67">
        <f t="shared" si="2"/>
        <v>1080000</v>
      </c>
    </row>
    <row r="21" spans="1:12" s="1" customFormat="1">
      <c r="A21" s="35"/>
      <c r="B21" s="37"/>
      <c r="C21" s="10" t="s">
        <v>37</v>
      </c>
      <c r="D21" s="6" t="s">
        <v>4</v>
      </c>
      <c r="E21" s="6" t="s">
        <v>7</v>
      </c>
      <c r="F21" s="8">
        <v>2</v>
      </c>
      <c r="G21" s="9">
        <v>250000</v>
      </c>
      <c r="H21" s="9">
        <f t="shared" si="3"/>
        <v>500000</v>
      </c>
      <c r="I21" s="9" t="s">
        <v>34</v>
      </c>
      <c r="J21" s="67">
        <v>1.2</v>
      </c>
      <c r="K21" s="67">
        <f t="shared" si="1"/>
        <v>300000</v>
      </c>
      <c r="L21" s="67">
        <f t="shared" si="2"/>
        <v>600000</v>
      </c>
    </row>
    <row r="22" spans="1:12" s="1" customFormat="1">
      <c r="A22" s="35"/>
      <c r="B22" s="37"/>
      <c r="C22" s="12" t="s">
        <v>19</v>
      </c>
      <c r="D22" s="6" t="s">
        <v>4</v>
      </c>
      <c r="E22" s="6" t="s">
        <v>14</v>
      </c>
      <c r="F22" s="8">
        <v>60</v>
      </c>
      <c r="G22" s="9">
        <v>15000</v>
      </c>
      <c r="H22" s="9">
        <f t="shared" si="3"/>
        <v>900000</v>
      </c>
      <c r="I22" s="9" t="s">
        <v>34</v>
      </c>
      <c r="J22" s="67">
        <v>1.2</v>
      </c>
      <c r="K22" s="67">
        <f t="shared" si="1"/>
        <v>18000</v>
      </c>
      <c r="L22" s="67">
        <f t="shared" si="2"/>
        <v>1080000</v>
      </c>
    </row>
    <row r="23" spans="1:12" s="1" customFormat="1" ht="28.5">
      <c r="A23" s="35">
        <v>8</v>
      </c>
      <c r="B23" s="35" t="s">
        <v>6</v>
      </c>
      <c r="C23" s="12" t="s">
        <v>24</v>
      </c>
      <c r="D23" s="6" t="s">
        <v>1</v>
      </c>
      <c r="E23" s="6" t="s">
        <v>8</v>
      </c>
      <c r="F23" s="8">
        <v>1</v>
      </c>
      <c r="G23" s="9">
        <v>2000000</v>
      </c>
      <c r="H23" s="9">
        <f t="shared" si="3"/>
        <v>2000000</v>
      </c>
      <c r="I23" s="9"/>
      <c r="J23" s="67">
        <v>1.2</v>
      </c>
      <c r="K23" s="67">
        <f t="shared" si="1"/>
        <v>2400000</v>
      </c>
      <c r="L23" s="67">
        <f t="shared" si="2"/>
        <v>2400000</v>
      </c>
    </row>
    <row r="24" spans="1:12" s="1" customFormat="1">
      <c r="A24" s="35"/>
      <c r="B24" s="36"/>
      <c r="C24" s="11" t="s">
        <v>38</v>
      </c>
      <c r="D24" s="6" t="s">
        <v>1</v>
      </c>
      <c r="E24" s="6" t="s">
        <v>8</v>
      </c>
      <c r="F24" s="8">
        <v>13</v>
      </c>
      <c r="G24" s="9">
        <v>1000000</v>
      </c>
      <c r="H24" s="9">
        <f t="shared" si="3"/>
        <v>13000000</v>
      </c>
      <c r="I24" s="9"/>
      <c r="J24" s="67">
        <v>1.2</v>
      </c>
      <c r="K24" s="67">
        <f t="shared" si="1"/>
        <v>1200000</v>
      </c>
      <c r="L24" s="67">
        <f t="shared" si="2"/>
        <v>15600000</v>
      </c>
    </row>
    <row r="25" spans="1:12" s="1" customFormat="1" ht="25.7" customHeight="1">
      <c r="A25" s="36" t="s">
        <v>39</v>
      </c>
      <c r="B25" s="36"/>
      <c r="C25" s="36"/>
      <c r="D25" s="36"/>
      <c r="E25" s="36"/>
      <c r="F25" s="13"/>
      <c r="G25" s="13"/>
      <c r="H25" s="14">
        <f>SUM(H2:H24)</f>
        <v>153668148.14814815</v>
      </c>
      <c r="I25" s="10"/>
      <c r="J25" s="67"/>
      <c r="K25" s="67">
        <f t="shared" si="1"/>
        <v>0</v>
      </c>
      <c r="L25" s="69">
        <f>SUM(L2:L24)</f>
        <v>182701962.96296296</v>
      </c>
    </row>
    <row r="26" spans="1:12" ht="27.6" customHeight="1"/>
  </sheetData>
  <mergeCells count="11">
    <mergeCell ref="A4:A6"/>
    <mergeCell ref="B4:B6"/>
    <mergeCell ref="A25:E25"/>
    <mergeCell ref="A20:A22"/>
    <mergeCell ref="B20:B22"/>
    <mergeCell ref="A7:A13"/>
    <mergeCell ref="B7:B13"/>
    <mergeCell ref="A14:A18"/>
    <mergeCell ref="B14:B18"/>
    <mergeCell ref="A23:A24"/>
    <mergeCell ref="B23:B24"/>
  </mergeCells>
  <phoneticPr fontId="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38B14-A449-4733-9986-3C054BB742D3}">
  <sheetPr>
    <tabColor rgb="FF00B050"/>
  </sheetPr>
  <dimension ref="A1:M26"/>
  <sheetViews>
    <sheetView topLeftCell="F1" workbookViewId="0">
      <selection activeCell="L4" sqref="L4"/>
    </sheetView>
  </sheetViews>
  <sheetFormatPr defaultColWidth="15.7109375" defaultRowHeight="20.25"/>
  <cols>
    <col min="1" max="1" width="4.7109375" style="2" bestFit="1" customWidth="1"/>
    <col min="2" max="2" width="16.42578125" style="3" customWidth="1"/>
    <col min="3" max="3" width="49.85546875" style="2" customWidth="1"/>
    <col min="4" max="4" width="13.28515625" style="4" customWidth="1"/>
    <col min="5" max="5" width="11.140625" style="4" customWidth="1"/>
    <col min="6" max="6" width="16.42578125" style="4" customWidth="1"/>
    <col min="7" max="8" width="16.42578125" style="4" hidden="1" customWidth="1"/>
    <col min="9" max="9" width="12.85546875" style="5" hidden="1" customWidth="1"/>
    <col min="10" max="10" width="0" style="75" hidden="1" customWidth="1"/>
    <col min="11" max="11" width="21.7109375" style="70" bestFit="1" customWidth="1"/>
    <col min="12" max="12" width="23.42578125" style="70" bestFit="1" customWidth="1"/>
    <col min="13" max="16384" width="15.7109375" style="2"/>
  </cols>
  <sheetData>
    <row r="1" spans="1:13" s="1" customFormat="1" ht="37.35" customHeight="1">
      <c r="A1" s="17" t="s">
        <v>46</v>
      </c>
      <c r="B1" s="18" t="s">
        <v>45</v>
      </c>
      <c r="C1" s="18" t="s">
        <v>49</v>
      </c>
      <c r="D1" s="17" t="s">
        <v>44</v>
      </c>
      <c r="E1" s="17" t="s">
        <v>43</v>
      </c>
      <c r="F1" s="7" t="s">
        <v>42</v>
      </c>
      <c r="G1" s="15" t="s">
        <v>48</v>
      </c>
      <c r="H1" s="7" t="s">
        <v>40</v>
      </c>
      <c r="I1" s="16" t="s">
        <v>41</v>
      </c>
      <c r="J1" s="72"/>
      <c r="K1" s="57" t="s">
        <v>103</v>
      </c>
      <c r="L1" s="57" t="s">
        <v>104</v>
      </c>
    </row>
    <row r="2" spans="1:13" s="1" customFormat="1" ht="90.95" customHeight="1">
      <c r="A2" s="29">
        <v>1</v>
      </c>
      <c r="B2" s="29" t="s">
        <v>9</v>
      </c>
      <c r="C2" s="22" t="s">
        <v>59</v>
      </c>
      <c r="D2" s="23" t="s">
        <v>53</v>
      </c>
      <c r="E2" s="30" t="s">
        <v>12</v>
      </c>
      <c r="F2" s="24">
        <v>22</v>
      </c>
      <c r="G2" s="25">
        <f>2380000/1.08</f>
        <v>2203703.7037037034</v>
      </c>
      <c r="H2" s="9">
        <f>F2*G2</f>
        <v>48481481.481481478</v>
      </c>
      <c r="I2" s="9" t="s">
        <v>16</v>
      </c>
      <c r="J2" s="72">
        <v>1.18</v>
      </c>
      <c r="K2" s="67">
        <f>J2*G2</f>
        <v>2600370.3703703699</v>
      </c>
      <c r="L2" s="67">
        <f>K2*F2</f>
        <v>57208148.148148134</v>
      </c>
    </row>
    <row r="3" spans="1:13" s="1" customFormat="1" ht="83.1" customHeight="1">
      <c r="A3" s="29">
        <v>2</v>
      </c>
      <c r="B3" s="29" t="s">
        <v>18</v>
      </c>
      <c r="C3" s="22" t="s">
        <v>98</v>
      </c>
      <c r="D3" s="30" t="s">
        <v>56</v>
      </c>
      <c r="E3" s="24" t="s">
        <v>8</v>
      </c>
      <c r="F3" s="24">
        <v>1</v>
      </c>
      <c r="G3" s="25">
        <f>33800000/1.08</f>
        <v>31296296.296296295</v>
      </c>
      <c r="H3" s="9">
        <f t="shared" ref="H3" si="0">F3*G3</f>
        <v>31296296.296296295</v>
      </c>
      <c r="I3" s="9" t="s">
        <v>17</v>
      </c>
      <c r="J3" s="72">
        <v>1.2</v>
      </c>
      <c r="K3" s="67">
        <f t="shared" ref="K3:K25" si="1">J3*G3</f>
        <v>37555555.555555552</v>
      </c>
      <c r="L3" s="67">
        <f t="shared" ref="L3:L25" si="2">K3*F3</f>
        <v>37555555.555555552</v>
      </c>
    </row>
    <row r="4" spans="1:13" s="1" customFormat="1" ht="71.45" customHeight="1">
      <c r="A4" s="35">
        <v>3</v>
      </c>
      <c r="B4" s="35" t="s">
        <v>10</v>
      </c>
      <c r="C4" s="22" t="s">
        <v>60</v>
      </c>
      <c r="D4" s="30" t="s">
        <v>58</v>
      </c>
      <c r="E4" s="24" t="s">
        <v>8</v>
      </c>
      <c r="F4" s="24">
        <v>1</v>
      </c>
      <c r="G4" s="25">
        <f>43218000/1.08</f>
        <v>40016666.666666664</v>
      </c>
      <c r="H4" s="9">
        <f>F4*G4</f>
        <v>40016666.666666664</v>
      </c>
      <c r="I4" s="9" t="s">
        <v>17</v>
      </c>
      <c r="J4" s="73">
        <v>1.18</v>
      </c>
      <c r="K4" s="67">
        <f t="shared" si="1"/>
        <v>47219666.666666664</v>
      </c>
      <c r="L4" s="67">
        <f t="shared" si="2"/>
        <v>47219666.666666664</v>
      </c>
      <c r="M4" s="28"/>
    </row>
    <row r="5" spans="1:13" s="1" customFormat="1" ht="26.45" customHeight="1">
      <c r="A5" s="35"/>
      <c r="B5" s="35"/>
      <c r="C5" s="10" t="s">
        <v>27</v>
      </c>
      <c r="D5" s="29" t="s">
        <v>1</v>
      </c>
      <c r="E5" s="29" t="s">
        <v>8</v>
      </c>
      <c r="F5" s="24">
        <v>1</v>
      </c>
      <c r="G5" s="9">
        <v>800000</v>
      </c>
      <c r="H5" s="9">
        <f t="shared" ref="H5:H24" si="3">F5*G5</f>
        <v>800000</v>
      </c>
      <c r="I5" s="9" t="s">
        <v>17</v>
      </c>
      <c r="J5" s="73">
        <v>1.18</v>
      </c>
      <c r="K5" s="67">
        <f t="shared" si="1"/>
        <v>944000</v>
      </c>
      <c r="L5" s="67">
        <f t="shared" si="2"/>
        <v>944000</v>
      </c>
      <c r="M5" s="28"/>
    </row>
    <row r="6" spans="1:13" s="1" customFormat="1" ht="26.45" customHeight="1">
      <c r="A6" s="35"/>
      <c r="B6" s="35"/>
      <c r="C6" s="10" t="s">
        <v>28</v>
      </c>
      <c r="D6" s="29" t="s">
        <v>4</v>
      </c>
      <c r="E6" s="29" t="s">
        <v>8</v>
      </c>
      <c r="F6" s="24">
        <v>1</v>
      </c>
      <c r="G6" s="9">
        <v>100000</v>
      </c>
      <c r="H6" s="9">
        <f t="shared" si="3"/>
        <v>100000</v>
      </c>
      <c r="I6" s="9" t="s">
        <v>17</v>
      </c>
      <c r="J6" s="73">
        <v>1.18</v>
      </c>
      <c r="K6" s="67">
        <f t="shared" si="1"/>
        <v>118000</v>
      </c>
      <c r="L6" s="67">
        <f t="shared" si="2"/>
        <v>118000</v>
      </c>
      <c r="M6" s="28"/>
    </row>
    <row r="7" spans="1:13" s="1" customFormat="1">
      <c r="A7" s="35">
        <v>4</v>
      </c>
      <c r="B7" s="35" t="s">
        <v>2</v>
      </c>
      <c r="C7" s="11" t="s">
        <v>0</v>
      </c>
      <c r="D7" s="29" t="s">
        <v>4</v>
      </c>
      <c r="E7" s="29" t="s">
        <v>7</v>
      </c>
      <c r="F7" s="24">
        <v>30</v>
      </c>
      <c r="G7" s="9">
        <v>11000</v>
      </c>
      <c r="H7" s="9">
        <f t="shared" si="3"/>
        <v>330000</v>
      </c>
      <c r="I7" s="9" t="s">
        <v>17</v>
      </c>
      <c r="J7" s="73">
        <v>1.2</v>
      </c>
      <c r="K7" s="67">
        <f t="shared" si="1"/>
        <v>13200</v>
      </c>
      <c r="L7" s="67">
        <f t="shared" si="2"/>
        <v>396000</v>
      </c>
      <c r="M7" s="28"/>
    </row>
    <row r="8" spans="1:13" s="1" customFormat="1">
      <c r="A8" s="35"/>
      <c r="B8" s="35"/>
      <c r="C8" s="11" t="s">
        <v>11</v>
      </c>
      <c r="D8" s="29" t="s">
        <v>4</v>
      </c>
      <c r="E8" s="29" t="s">
        <v>7</v>
      </c>
      <c r="F8" s="24">
        <v>40</v>
      </c>
      <c r="G8" s="9">
        <v>11000</v>
      </c>
      <c r="H8" s="9">
        <f t="shared" si="3"/>
        <v>440000</v>
      </c>
      <c r="I8" s="9" t="s">
        <v>17</v>
      </c>
      <c r="J8" s="73">
        <v>1.2</v>
      </c>
      <c r="K8" s="67">
        <f t="shared" si="1"/>
        <v>13200</v>
      </c>
      <c r="L8" s="67">
        <f t="shared" si="2"/>
        <v>528000</v>
      </c>
      <c r="M8" s="28"/>
    </row>
    <row r="9" spans="1:13" s="1" customFormat="1">
      <c r="A9" s="35"/>
      <c r="B9" s="35"/>
      <c r="C9" s="11" t="s">
        <v>29</v>
      </c>
      <c r="D9" s="29" t="s">
        <v>4</v>
      </c>
      <c r="E9" s="29" t="s">
        <v>7</v>
      </c>
      <c r="F9" s="24">
        <v>14</v>
      </c>
      <c r="G9" s="9">
        <v>360000</v>
      </c>
      <c r="H9" s="9">
        <f t="shared" si="3"/>
        <v>5040000</v>
      </c>
      <c r="I9" s="9" t="s">
        <v>17</v>
      </c>
      <c r="J9" s="73">
        <v>1.2</v>
      </c>
      <c r="K9" s="67">
        <f t="shared" si="1"/>
        <v>432000</v>
      </c>
      <c r="L9" s="67">
        <f t="shared" si="2"/>
        <v>6048000</v>
      </c>
      <c r="M9" s="28"/>
    </row>
    <row r="10" spans="1:13" s="1" customFormat="1">
      <c r="A10" s="35"/>
      <c r="B10" s="35"/>
      <c r="C10" s="11" t="s">
        <v>20</v>
      </c>
      <c r="D10" s="29" t="s">
        <v>4</v>
      </c>
      <c r="E10" s="29" t="s">
        <v>7</v>
      </c>
      <c r="F10" s="24">
        <v>14</v>
      </c>
      <c r="G10" s="9">
        <v>20000</v>
      </c>
      <c r="H10" s="9">
        <f t="shared" si="3"/>
        <v>280000</v>
      </c>
      <c r="I10" s="9" t="s">
        <v>17</v>
      </c>
      <c r="J10" s="73">
        <v>1.2</v>
      </c>
      <c r="K10" s="67">
        <f t="shared" si="1"/>
        <v>24000</v>
      </c>
      <c r="L10" s="67">
        <f t="shared" si="2"/>
        <v>336000</v>
      </c>
      <c r="M10" s="28" t="s">
        <v>86</v>
      </c>
    </row>
    <row r="11" spans="1:13" s="1" customFormat="1">
      <c r="A11" s="35"/>
      <c r="B11" s="35"/>
      <c r="C11" s="11" t="s">
        <v>21</v>
      </c>
      <c r="D11" s="29" t="s">
        <v>4</v>
      </c>
      <c r="E11" s="29" t="s">
        <v>7</v>
      </c>
      <c r="F11" s="8">
        <v>70</v>
      </c>
      <c r="G11" s="9">
        <v>20000</v>
      </c>
      <c r="H11" s="9">
        <f t="shared" si="3"/>
        <v>1400000</v>
      </c>
      <c r="I11" s="9" t="s">
        <v>17</v>
      </c>
      <c r="J11" s="73">
        <v>1.2</v>
      </c>
      <c r="K11" s="67">
        <f t="shared" si="1"/>
        <v>24000</v>
      </c>
      <c r="L11" s="67">
        <f t="shared" si="2"/>
        <v>1680000</v>
      </c>
      <c r="M11" s="28"/>
    </row>
    <row r="12" spans="1:13" s="1" customFormat="1">
      <c r="A12" s="35"/>
      <c r="B12" s="35"/>
      <c r="C12" s="11" t="s">
        <v>25</v>
      </c>
      <c r="D12" s="29" t="s">
        <v>4</v>
      </c>
      <c r="E12" s="29" t="s">
        <v>7</v>
      </c>
      <c r="F12" s="8">
        <v>40</v>
      </c>
      <c r="G12" s="9">
        <v>20000</v>
      </c>
      <c r="H12" s="9">
        <f t="shared" si="3"/>
        <v>800000</v>
      </c>
      <c r="I12" s="9" t="s">
        <v>17</v>
      </c>
      <c r="J12" s="73">
        <v>1.2</v>
      </c>
      <c r="K12" s="67">
        <f t="shared" si="1"/>
        <v>24000</v>
      </c>
      <c r="L12" s="67">
        <f t="shared" si="2"/>
        <v>960000</v>
      </c>
      <c r="M12" s="28"/>
    </row>
    <row r="13" spans="1:13" s="1" customFormat="1">
      <c r="A13" s="35"/>
      <c r="B13" s="35"/>
      <c r="C13" s="11" t="s">
        <v>26</v>
      </c>
      <c r="D13" s="29" t="s">
        <v>4</v>
      </c>
      <c r="E13" s="29" t="s">
        <v>7</v>
      </c>
      <c r="F13" s="8">
        <f>F8</f>
        <v>40</v>
      </c>
      <c r="G13" s="9">
        <v>2000</v>
      </c>
      <c r="H13" s="9">
        <f t="shared" si="3"/>
        <v>80000</v>
      </c>
      <c r="I13" s="9" t="s">
        <v>17</v>
      </c>
      <c r="J13" s="72">
        <v>1.2</v>
      </c>
      <c r="K13" s="67">
        <f t="shared" si="1"/>
        <v>2400</v>
      </c>
      <c r="L13" s="67">
        <f t="shared" si="2"/>
        <v>96000</v>
      </c>
    </row>
    <row r="14" spans="1:13" s="1" customFormat="1" ht="33.6" customHeight="1">
      <c r="A14" s="35">
        <v>5</v>
      </c>
      <c r="B14" s="35" t="s">
        <v>3</v>
      </c>
      <c r="C14" s="10" t="s">
        <v>22</v>
      </c>
      <c r="D14" s="29" t="s">
        <v>30</v>
      </c>
      <c r="E14" s="29" t="s">
        <v>14</v>
      </c>
      <c r="F14" s="8">
        <v>100</v>
      </c>
      <c r="G14" s="9">
        <v>20000</v>
      </c>
      <c r="H14" s="9">
        <f t="shared" si="3"/>
        <v>2000000</v>
      </c>
      <c r="I14" s="9" t="s">
        <v>17</v>
      </c>
      <c r="J14" s="72">
        <v>1.2</v>
      </c>
      <c r="K14" s="67">
        <f t="shared" si="1"/>
        <v>24000</v>
      </c>
      <c r="L14" s="67">
        <f t="shared" si="2"/>
        <v>2400000</v>
      </c>
    </row>
    <row r="15" spans="1:13" s="1" customFormat="1" ht="32.450000000000003" customHeight="1">
      <c r="A15" s="35"/>
      <c r="B15" s="35"/>
      <c r="C15" s="10" t="s">
        <v>23</v>
      </c>
      <c r="D15" s="29" t="s">
        <v>30</v>
      </c>
      <c r="E15" s="29" t="s">
        <v>14</v>
      </c>
      <c r="F15" s="8">
        <v>100</v>
      </c>
      <c r="G15" s="9">
        <v>20000</v>
      </c>
      <c r="H15" s="9">
        <f t="shared" si="3"/>
        <v>2000000</v>
      </c>
      <c r="I15" s="9" t="s">
        <v>17</v>
      </c>
      <c r="J15" s="72">
        <v>1.2</v>
      </c>
      <c r="K15" s="67">
        <f t="shared" si="1"/>
        <v>24000</v>
      </c>
      <c r="L15" s="67">
        <f t="shared" si="2"/>
        <v>2400000</v>
      </c>
    </row>
    <row r="16" spans="1:13" s="1" customFormat="1" ht="57">
      <c r="A16" s="35"/>
      <c r="B16" s="35"/>
      <c r="C16" s="10" t="s">
        <v>50</v>
      </c>
      <c r="D16" s="29" t="s">
        <v>51</v>
      </c>
      <c r="E16" s="29" t="s">
        <v>14</v>
      </c>
      <c r="F16" s="8">
        <v>20</v>
      </c>
      <c r="G16" s="9">
        <v>150000</v>
      </c>
      <c r="H16" s="9">
        <f t="shared" si="3"/>
        <v>3000000</v>
      </c>
      <c r="I16" s="9" t="s">
        <v>17</v>
      </c>
      <c r="J16" s="72">
        <v>1.2</v>
      </c>
      <c r="K16" s="67">
        <f t="shared" si="1"/>
        <v>180000</v>
      </c>
      <c r="L16" s="67">
        <f t="shared" si="2"/>
        <v>3600000</v>
      </c>
    </row>
    <row r="17" spans="1:12" s="1" customFormat="1" ht="36" customHeight="1">
      <c r="A17" s="35"/>
      <c r="B17" s="35"/>
      <c r="C17" s="10" t="s">
        <v>47</v>
      </c>
      <c r="D17" s="29" t="s">
        <v>4</v>
      </c>
      <c r="E17" s="29" t="s">
        <v>8</v>
      </c>
      <c r="F17" s="8">
        <v>1</v>
      </c>
      <c r="G17" s="9">
        <v>300000</v>
      </c>
      <c r="H17" s="9">
        <f t="shared" si="3"/>
        <v>300000</v>
      </c>
      <c r="I17" s="9" t="s">
        <v>17</v>
      </c>
      <c r="J17" s="72">
        <v>1.2</v>
      </c>
      <c r="K17" s="67">
        <f t="shared" si="1"/>
        <v>360000</v>
      </c>
      <c r="L17" s="67">
        <f t="shared" si="2"/>
        <v>360000</v>
      </c>
    </row>
    <row r="18" spans="1:12" s="1" customFormat="1" ht="26.1" customHeight="1">
      <c r="A18" s="35"/>
      <c r="B18" s="35"/>
      <c r="C18" s="10" t="s">
        <v>13</v>
      </c>
      <c r="D18" s="29" t="s">
        <v>30</v>
      </c>
      <c r="E18" s="29" t="s">
        <v>8</v>
      </c>
      <c r="F18" s="8">
        <v>10</v>
      </c>
      <c r="G18" s="9">
        <v>30000</v>
      </c>
      <c r="H18" s="9">
        <f t="shared" si="3"/>
        <v>300000</v>
      </c>
      <c r="I18" s="9" t="s">
        <v>17</v>
      </c>
      <c r="J18" s="72">
        <v>1.2</v>
      </c>
      <c r="K18" s="67">
        <f t="shared" si="1"/>
        <v>36000</v>
      </c>
      <c r="L18" s="67">
        <f t="shared" si="2"/>
        <v>360000</v>
      </c>
    </row>
    <row r="19" spans="1:12" s="1" customFormat="1" ht="138" customHeight="1">
      <c r="A19" s="29">
        <v>6</v>
      </c>
      <c r="B19" s="29" t="s">
        <v>15</v>
      </c>
      <c r="C19" s="27" t="s">
        <v>97</v>
      </c>
      <c r="D19" s="30" t="s">
        <v>95</v>
      </c>
      <c r="E19" s="30" t="s">
        <v>8</v>
      </c>
      <c r="F19" s="24">
        <v>1</v>
      </c>
      <c r="G19" s="25">
        <v>5800000</v>
      </c>
      <c r="H19" s="9">
        <f t="shared" si="3"/>
        <v>5800000</v>
      </c>
      <c r="I19" s="9" t="s">
        <v>34</v>
      </c>
      <c r="J19" s="72">
        <v>1.2</v>
      </c>
      <c r="K19" s="67">
        <f t="shared" si="1"/>
        <v>6960000</v>
      </c>
      <c r="L19" s="67">
        <f t="shared" si="2"/>
        <v>6960000</v>
      </c>
    </row>
    <row r="20" spans="1:12" s="1" customFormat="1">
      <c r="A20" s="35">
        <v>7</v>
      </c>
      <c r="B20" s="37" t="s">
        <v>5</v>
      </c>
      <c r="C20" s="10" t="s">
        <v>35</v>
      </c>
      <c r="D20" s="29" t="s">
        <v>36</v>
      </c>
      <c r="E20" s="29" t="s">
        <v>14</v>
      </c>
      <c r="F20" s="8">
        <v>60</v>
      </c>
      <c r="G20" s="9">
        <v>15000</v>
      </c>
      <c r="H20" s="9">
        <f t="shared" si="3"/>
        <v>900000</v>
      </c>
      <c r="I20" s="9" t="s">
        <v>34</v>
      </c>
      <c r="J20" s="72">
        <v>1.2</v>
      </c>
      <c r="K20" s="67">
        <f t="shared" si="1"/>
        <v>18000</v>
      </c>
      <c r="L20" s="67">
        <f t="shared" si="2"/>
        <v>1080000</v>
      </c>
    </row>
    <row r="21" spans="1:12" s="1" customFormat="1">
      <c r="A21" s="35"/>
      <c r="B21" s="37"/>
      <c r="C21" s="10" t="s">
        <v>37</v>
      </c>
      <c r="D21" s="29" t="s">
        <v>4</v>
      </c>
      <c r="E21" s="29" t="s">
        <v>7</v>
      </c>
      <c r="F21" s="8">
        <v>2</v>
      </c>
      <c r="G21" s="9">
        <v>250000</v>
      </c>
      <c r="H21" s="9">
        <f t="shared" si="3"/>
        <v>500000</v>
      </c>
      <c r="I21" s="9" t="s">
        <v>34</v>
      </c>
      <c r="J21" s="72">
        <v>1.2</v>
      </c>
      <c r="K21" s="67">
        <f t="shared" si="1"/>
        <v>300000</v>
      </c>
      <c r="L21" s="67">
        <f t="shared" si="2"/>
        <v>600000</v>
      </c>
    </row>
    <row r="22" spans="1:12" s="1" customFormat="1">
      <c r="A22" s="35"/>
      <c r="B22" s="37"/>
      <c r="C22" s="12" t="s">
        <v>19</v>
      </c>
      <c r="D22" s="29" t="s">
        <v>4</v>
      </c>
      <c r="E22" s="29" t="s">
        <v>14</v>
      </c>
      <c r="F22" s="8">
        <v>60</v>
      </c>
      <c r="G22" s="9">
        <v>15000</v>
      </c>
      <c r="H22" s="9">
        <f t="shared" si="3"/>
        <v>900000</v>
      </c>
      <c r="I22" s="9" t="s">
        <v>34</v>
      </c>
      <c r="J22" s="72">
        <v>1.2</v>
      </c>
      <c r="K22" s="67">
        <f t="shared" si="1"/>
        <v>18000</v>
      </c>
      <c r="L22" s="67">
        <f t="shared" si="2"/>
        <v>1080000</v>
      </c>
    </row>
    <row r="23" spans="1:12" s="1" customFormat="1" ht="28.5">
      <c r="A23" s="35">
        <v>8</v>
      </c>
      <c r="B23" s="35" t="s">
        <v>6</v>
      </c>
      <c r="C23" s="12" t="s">
        <v>24</v>
      </c>
      <c r="D23" s="29" t="s">
        <v>1</v>
      </c>
      <c r="E23" s="29" t="s">
        <v>8</v>
      </c>
      <c r="F23" s="8">
        <v>1</v>
      </c>
      <c r="G23" s="9">
        <v>2000000</v>
      </c>
      <c r="H23" s="9">
        <f t="shared" si="3"/>
        <v>2000000</v>
      </c>
      <c r="I23" s="9"/>
      <c r="J23" s="72">
        <v>1.2</v>
      </c>
      <c r="K23" s="67">
        <f t="shared" si="1"/>
        <v>2400000</v>
      </c>
      <c r="L23" s="67">
        <f t="shared" si="2"/>
        <v>2400000</v>
      </c>
    </row>
    <row r="24" spans="1:12" s="1" customFormat="1">
      <c r="A24" s="35"/>
      <c r="B24" s="36"/>
      <c r="C24" s="11" t="s">
        <v>38</v>
      </c>
      <c r="D24" s="29" t="s">
        <v>1</v>
      </c>
      <c r="E24" s="29" t="s">
        <v>8</v>
      </c>
      <c r="F24" s="8">
        <v>14.3</v>
      </c>
      <c r="G24" s="9">
        <v>1000000</v>
      </c>
      <c r="H24" s="9">
        <f t="shared" si="3"/>
        <v>14300000</v>
      </c>
      <c r="I24" s="9"/>
      <c r="J24" s="72">
        <v>1.2</v>
      </c>
      <c r="K24" s="67">
        <f t="shared" si="1"/>
        <v>1200000</v>
      </c>
      <c r="L24" s="67">
        <f t="shared" si="2"/>
        <v>17160000</v>
      </c>
    </row>
    <row r="25" spans="1:12" s="1" customFormat="1" ht="25.7" customHeight="1">
      <c r="A25" s="36" t="s">
        <v>39</v>
      </c>
      <c r="B25" s="36"/>
      <c r="C25" s="36"/>
      <c r="D25" s="36"/>
      <c r="E25" s="36"/>
      <c r="F25" s="13"/>
      <c r="G25" s="13"/>
      <c r="H25" s="14">
        <f>SUM(H2:H24)</f>
        <v>161064444.44444445</v>
      </c>
      <c r="I25" s="71"/>
      <c r="J25" s="74"/>
      <c r="K25" s="69">
        <f t="shared" si="1"/>
        <v>0</v>
      </c>
      <c r="L25" s="69">
        <f>SUM(L2:L24)</f>
        <v>191489370.37037036</v>
      </c>
    </row>
    <row r="26" spans="1:12" ht="27.6" customHeight="1"/>
  </sheetData>
  <mergeCells count="11">
    <mergeCell ref="A4:A6"/>
    <mergeCell ref="B4:B6"/>
    <mergeCell ref="A7:A13"/>
    <mergeCell ref="B7:B13"/>
    <mergeCell ref="A14:A18"/>
    <mergeCell ref="B14:B18"/>
    <mergeCell ref="A20:A22"/>
    <mergeCell ref="B20:B22"/>
    <mergeCell ref="A23:A24"/>
    <mergeCell ref="B23:B24"/>
    <mergeCell ref="A25:E2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518BF-B23A-4841-822D-62A6587999D1}">
  <sheetPr>
    <tabColor rgb="FF00B050"/>
  </sheetPr>
  <dimension ref="A1:M26"/>
  <sheetViews>
    <sheetView topLeftCell="F1" workbookViewId="0">
      <pane ySplit="1" topLeftCell="A2" activePane="bottomLeft" state="frozen"/>
      <selection activeCell="F1" sqref="F1"/>
      <selection pane="bottomLeft" activeCell="G1" sqref="G1:J1048576"/>
    </sheetView>
  </sheetViews>
  <sheetFormatPr defaultColWidth="15.7109375" defaultRowHeight="20.25"/>
  <cols>
    <col min="1" max="1" width="4.7109375" style="2" bestFit="1" customWidth="1"/>
    <col min="2" max="2" width="16.42578125" style="3" customWidth="1"/>
    <col min="3" max="3" width="49.85546875" style="2" customWidth="1"/>
    <col min="4" max="4" width="13.28515625" style="4" customWidth="1"/>
    <col min="5" max="5" width="11.140625" style="4" customWidth="1"/>
    <col min="6" max="6" width="16.42578125" style="4" customWidth="1"/>
    <col min="7" max="8" width="16.42578125" style="4" hidden="1" customWidth="1"/>
    <col min="9" max="9" width="12.85546875" style="5" hidden="1" customWidth="1"/>
    <col min="10" max="10" width="0" style="76" hidden="1" customWidth="1"/>
    <col min="11" max="11" width="23.42578125" style="77" bestFit="1" customWidth="1"/>
    <col min="12" max="12" width="23.5703125" style="77" bestFit="1" customWidth="1"/>
    <col min="13" max="16384" width="15.7109375" style="2"/>
  </cols>
  <sheetData>
    <row r="1" spans="1:13" s="1" customFormat="1" ht="37.35" customHeight="1">
      <c r="A1" s="17" t="s">
        <v>46</v>
      </c>
      <c r="B1" s="18" t="s">
        <v>45</v>
      </c>
      <c r="C1" s="18" t="s">
        <v>49</v>
      </c>
      <c r="D1" s="17" t="s">
        <v>44</v>
      </c>
      <c r="E1" s="17" t="s">
        <v>43</v>
      </c>
      <c r="F1" s="7" t="s">
        <v>42</v>
      </c>
      <c r="G1" s="15" t="s">
        <v>48</v>
      </c>
      <c r="H1" s="7" t="s">
        <v>40</v>
      </c>
      <c r="I1" s="16" t="s">
        <v>41</v>
      </c>
      <c r="J1" s="81"/>
      <c r="K1" s="82" t="s">
        <v>103</v>
      </c>
      <c r="L1" s="82" t="s">
        <v>104</v>
      </c>
    </row>
    <row r="2" spans="1:13" s="1" customFormat="1" ht="90.95" customHeight="1">
      <c r="A2" s="29">
        <v>1</v>
      </c>
      <c r="B2" s="29" t="s">
        <v>9</v>
      </c>
      <c r="C2" s="22" t="s">
        <v>59</v>
      </c>
      <c r="D2" s="23" t="s">
        <v>53</v>
      </c>
      <c r="E2" s="30" t="s">
        <v>12</v>
      </c>
      <c r="F2" s="24">
        <v>24</v>
      </c>
      <c r="G2" s="25">
        <f>2380000/1.08</f>
        <v>2203703.7037037034</v>
      </c>
      <c r="H2" s="9">
        <f>F2*G2</f>
        <v>52888888.888888881</v>
      </c>
      <c r="I2" s="9" t="s">
        <v>16</v>
      </c>
      <c r="J2" s="81">
        <v>1.18</v>
      </c>
      <c r="K2" s="83">
        <f>J2*G2</f>
        <v>2600370.3703703699</v>
      </c>
      <c r="L2" s="83">
        <f>K2*F2</f>
        <v>62408888.888888881</v>
      </c>
    </row>
    <row r="3" spans="1:13" s="1" customFormat="1" ht="83.1" customHeight="1">
      <c r="A3" s="29">
        <v>2</v>
      </c>
      <c r="B3" s="29" t="s">
        <v>18</v>
      </c>
      <c r="C3" s="22" t="s">
        <v>98</v>
      </c>
      <c r="D3" s="30" t="s">
        <v>56</v>
      </c>
      <c r="E3" s="24" t="s">
        <v>8</v>
      </c>
      <c r="F3" s="24">
        <v>1</v>
      </c>
      <c r="G3" s="25">
        <v>32000000</v>
      </c>
      <c r="H3" s="9">
        <f t="shared" ref="H3" si="0">F3*G3</f>
        <v>32000000</v>
      </c>
      <c r="I3" s="9" t="s">
        <v>17</v>
      </c>
      <c r="J3" s="81">
        <v>1.2</v>
      </c>
      <c r="K3" s="83">
        <f t="shared" ref="K3:K25" si="1">J3*G3</f>
        <v>38400000</v>
      </c>
      <c r="L3" s="83">
        <f t="shared" ref="L3:L25" si="2">K3*F3</f>
        <v>38400000</v>
      </c>
    </row>
    <row r="4" spans="1:13" s="1" customFormat="1" ht="71.45" customHeight="1">
      <c r="A4" s="35">
        <v>3</v>
      </c>
      <c r="B4" s="35" t="s">
        <v>10</v>
      </c>
      <c r="C4" s="22" t="s">
        <v>60</v>
      </c>
      <c r="D4" s="30" t="s">
        <v>58</v>
      </c>
      <c r="E4" s="24" t="s">
        <v>8</v>
      </c>
      <c r="F4" s="24">
        <v>1</v>
      </c>
      <c r="G4" s="25">
        <f>43218000/1.08</f>
        <v>40016666.666666664</v>
      </c>
      <c r="H4" s="9">
        <f>F4*G4</f>
        <v>40016666.666666664</v>
      </c>
      <c r="I4" s="9" t="s">
        <v>17</v>
      </c>
      <c r="J4" s="84">
        <v>1.18</v>
      </c>
      <c r="K4" s="83">
        <f t="shared" si="1"/>
        <v>47219666.666666664</v>
      </c>
      <c r="L4" s="83">
        <f t="shared" si="2"/>
        <v>47219666.666666664</v>
      </c>
      <c r="M4" s="28"/>
    </row>
    <row r="5" spans="1:13" s="1" customFormat="1" ht="26.45" customHeight="1">
      <c r="A5" s="35"/>
      <c r="B5" s="35"/>
      <c r="C5" s="10" t="s">
        <v>27</v>
      </c>
      <c r="D5" s="29" t="s">
        <v>1</v>
      </c>
      <c r="E5" s="29" t="s">
        <v>8</v>
      </c>
      <c r="F5" s="24">
        <v>1</v>
      </c>
      <c r="G5" s="9">
        <v>800000</v>
      </c>
      <c r="H5" s="9">
        <f t="shared" ref="H5:H24" si="3">F5*G5</f>
        <v>800000</v>
      </c>
      <c r="I5" s="9" t="s">
        <v>17</v>
      </c>
      <c r="J5" s="84">
        <v>1.18</v>
      </c>
      <c r="K5" s="83">
        <f t="shared" si="1"/>
        <v>944000</v>
      </c>
      <c r="L5" s="83">
        <f t="shared" si="2"/>
        <v>944000</v>
      </c>
      <c r="M5" s="28"/>
    </row>
    <row r="6" spans="1:13" s="1" customFormat="1" ht="26.45" customHeight="1">
      <c r="A6" s="35"/>
      <c r="B6" s="35"/>
      <c r="C6" s="10" t="s">
        <v>28</v>
      </c>
      <c r="D6" s="29" t="s">
        <v>4</v>
      </c>
      <c r="E6" s="29" t="s">
        <v>8</v>
      </c>
      <c r="F6" s="24">
        <v>1</v>
      </c>
      <c r="G6" s="9">
        <v>100000</v>
      </c>
      <c r="H6" s="9">
        <f t="shared" si="3"/>
        <v>100000</v>
      </c>
      <c r="I6" s="9" t="s">
        <v>17</v>
      </c>
      <c r="J6" s="84">
        <v>1.18</v>
      </c>
      <c r="K6" s="83">
        <f t="shared" si="1"/>
        <v>118000</v>
      </c>
      <c r="L6" s="83">
        <f t="shared" si="2"/>
        <v>118000</v>
      </c>
      <c r="M6" s="28"/>
    </row>
    <row r="7" spans="1:13" s="1" customFormat="1">
      <c r="A7" s="35">
        <v>4</v>
      </c>
      <c r="B7" s="35" t="s">
        <v>2</v>
      </c>
      <c r="C7" s="11" t="s">
        <v>0</v>
      </c>
      <c r="D7" s="29" t="s">
        <v>4</v>
      </c>
      <c r="E7" s="29" t="s">
        <v>7</v>
      </c>
      <c r="F7" s="24">
        <v>30</v>
      </c>
      <c r="G7" s="9">
        <v>11000</v>
      </c>
      <c r="H7" s="9">
        <f t="shared" si="3"/>
        <v>330000</v>
      </c>
      <c r="I7" s="9" t="s">
        <v>17</v>
      </c>
      <c r="J7" s="84">
        <v>1.2</v>
      </c>
      <c r="K7" s="83">
        <f t="shared" si="1"/>
        <v>13200</v>
      </c>
      <c r="L7" s="83">
        <f t="shared" si="2"/>
        <v>396000</v>
      </c>
      <c r="M7" s="28"/>
    </row>
    <row r="8" spans="1:13" s="1" customFormat="1">
      <c r="A8" s="35"/>
      <c r="B8" s="35"/>
      <c r="C8" s="11" t="s">
        <v>11</v>
      </c>
      <c r="D8" s="29" t="s">
        <v>4</v>
      </c>
      <c r="E8" s="29" t="s">
        <v>7</v>
      </c>
      <c r="F8" s="24">
        <v>40</v>
      </c>
      <c r="G8" s="9">
        <v>11000</v>
      </c>
      <c r="H8" s="9">
        <f t="shared" si="3"/>
        <v>440000</v>
      </c>
      <c r="I8" s="9" t="s">
        <v>17</v>
      </c>
      <c r="J8" s="84">
        <v>1.2</v>
      </c>
      <c r="K8" s="83">
        <f t="shared" si="1"/>
        <v>13200</v>
      </c>
      <c r="L8" s="83">
        <f t="shared" si="2"/>
        <v>528000</v>
      </c>
      <c r="M8" s="28"/>
    </row>
    <row r="9" spans="1:13" s="1" customFormat="1">
      <c r="A9" s="35"/>
      <c r="B9" s="35"/>
      <c r="C9" s="11" t="s">
        <v>29</v>
      </c>
      <c r="D9" s="29" t="s">
        <v>4</v>
      </c>
      <c r="E9" s="29" t="s">
        <v>7</v>
      </c>
      <c r="F9" s="24">
        <v>14</v>
      </c>
      <c r="G9" s="9">
        <v>360000</v>
      </c>
      <c r="H9" s="9">
        <f t="shared" si="3"/>
        <v>5040000</v>
      </c>
      <c r="I9" s="9" t="s">
        <v>17</v>
      </c>
      <c r="J9" s="84">
        <v>1.2</v>
      </c>
      <c r="K9" s="83">
        <f t="shared" si="1"/>
        <v>432000</v>
      </c>
      <c r="L9" s="83">
        <f t="shared" si="2"/>
        <v>6048000</v>
      </c>
      <c r="M9" s="28"/>
    </row>
    <row r="10" spans="1:13" s="1" customFormat="1">
      <c r="A10" s="35"/>
      <c r="B10" s="35"/>
      <c r="C10" s="11" t="s">
        <v>20</v>
      </c>
      <c r="D10" s="29" t="s">
        <v>4</v>
      </c>
      <c r="E10" s="29" t="s">
        <v>7</v>
      </c>
      <c r="F10" s="24">
        <v>14</v>
      </c>
      <c r="G10" s="9">
        <v>20000</v>
      </c>
      <c r="H10" s="9">
        <f t="shared" si="3"/>
        <v>280000</v>
      </c>
      <c r="I10" s="9" t="s">
        <v>17</v>
      </c>
      <c r="J10" s="84">
        <v>1.2</v>
      </c>
      <c r="K10" s="83">
        <f t="shared" si="1"/>
        <v>24000</v>
      </c>
      <c r="L10" s="83">
        <f t="shared" si="2"/>
        <v>336000</v>
      </c>
      <c r="M10" s="28" t="s">
        <v>86</v>
      </c>
    </row>
    <row r="11" spans="1:13" s="1" customFormat="1">
      <c r="A11" s="35"/>
      <c r="B11" s="35"/>
      <c r="C11" s="11" t="s">
        <v>21</v>
      </c>
      <c r="D11" s="29" t="s">
        <v>4</v>
      </c>
      <c r="E11" s="29" t="s">
        <v>7</v>
      </c>
      <c r="F11" s="8">
        <v>70</v>
      </c>
      <c r="G11" s="9">
        <v>20000</v>
      </c>
      <c r="H11" s="9">
        <f t="shared" si="3"/>
        <v>1400000</v>
      </c>
      <c r="I11" s="9" t="s">
        <v>17</v>
      </c>
      <c r="J11" s="84">
        <v>1.2</v>
      </c>
      <c r="K11" s="83">
        <f t="shared" si="1"/>
        <v>24000</v>
      </c>
      <c r="L11" s="83">
        <f t="shared" si="2"/>
        <v>1680000</v>
      </c>
      <c r="M11" s="28"/>
    </row>
    <row r="12" spans="1:13" s="1" customFormat="1">
      <c r="A12" s="35"/>
      <c r="B12" s="35"/>
      <c r="C12" s="11" t="s">
        <v>25</v>
      </c>
      <c r="D12" s="29" t="s">
        <v>4</v>
      </c>
      <c r="E12" s="29" t="s">
        <v>7</v>
      </c>
      <c r="F12" s="8">
        <v>40</v>
      </c>
      <c r="G12" s="9">
        <v>20000</v>
      </c>
      <c r="H12" s="9">
        <f t="shared" si="3"/>
        <v>800000</v>
      </c>
      <c r="I12" s="9" t="s">
        <v>17</v>
      </c>
      <c r="J12" s="84">
        <v>1.2</v>
      </c>
      <c r="K12" s="83">
        <f t="shared" si="1"/>
        <v>24000</v>
      </c>
      <c r="L12" s="83">
        <f t="shared" si="2"/>
        <v>960000</v>
      </c>
      <c r="M12" s="28"/>
    </row>
    <row r="13" spans="1:13" s="1" customFormat="1">
      <c r="A13" s="35"/>
      <c r="B13" s="35"/>
      <c r="C13" s="11" t="s">
        <v>26</v>
      </c>
      <c r="D13" s="29" t="s">
        <v>4</v>
      </c>
      <c r="E13" s="29" t="s">
        <v>7</v>
      </c>
      <c r="F13" s="8">
        <f>F8</f>
        <v>40</v>
      </c>
      <c r="G13" s="9">
        <v>2000</v>
      </c>
      <c r="H13" s="9">
        <f t="shared" si="3"/>
        <v>80000</v>
      </c>
      <c r="I13" s="9" t="s">
        <v>17</v>
      </c>
      <c r="J13" s="81">
        <v>1.2</v>
      </c>
      <c r="K13" s="83">
        <f t="shared" si="1"/>
        <v>2400</v>
      </c>
      <c r="L13" s="83">
        <f t="shared" si="2"/>
        <v>96000</v>
      </c>
    </row>
    <row r="14" spans="1:13" s="1" customFormat="1" ht="33.6" customHeight="1">
      <c r="A14" s="35">
        <v>5</v>
      </c>
      <c r="B14" s="35" t="s">
        <v>3</v>
      </c>
      <c r="C14" s="10" t="s">
        <v>22</v>
      </c>
      <c r="D14" s="29" t="s">
        <v>30</v>
      </c>
      <c r="E14" s="29" t="s">
        <v>14</v>
      </c>
      <c r="F14" s="8">
        <v>100</v>
      </c>
      <c r="G14" s="9">
        <v>20000</v>
      </c>
      <c r="H14" s="9">
        <f t="shared" si="3"/>
        <v>2000000</v>
      </c>
      <c r="I14" s="9" t="s">
        <v>17</v>
      </c>
      <c r="J14" s="81">
        <v>1.2</v>
      </c>
      <c r="K14" s="83">
        <f t="shared" si="1"/>
        <v>24000</v>
      </c>
      <c r="L14" s="83">
        <f t="shared" si="2"/>
        <v>2400000</v>
      </c>
    </row>
    <row r="15" spans="1:13" s="1" customFormat="1" ht="32.450000000000003" customHeight="1">
      <c r="A15" s="35"/>
      <c r="B15" s="35"/>
      <c r="C15" s="10" t="s">
        <v>23</v>
      </c>
      <c r="D15" s="29" t="s">
        <v>30</v>
      </c>
      <c r="E15" s="29" t="s">
        <v>14</v>
      </c>
      <c r="F15" s="8">
        <v>100</v>
      </c>
      <c r="G15" s="9">
        <v>20000</v>
      </c>
      <c r="H15" s="9">
        <f t="shared" si="3"/>
        <v>2000000</v>
      </c>
      <c r="I15" s="9" t="s">
        <v>17</v>
      </c>
      <c r="J15" s="81">
        <v>1.2</v>
      </c>
      <c r="K15" s="83">
        <f t="shared" si="1"/>
        <v>24000</v>
      </c>
      <c r="L15" s="83">
        <f t="shared" si="2"/>
        <v>2400000</v>
      </c>
    </row>
    <row r="16" spans="1:13" s="1" customFormat="1" ht="57">
      <c r="A16" s="35"/>
      <c r="B16" s="35"/>
      <c r="C16" s="10" t="s">
        <v>50</v>
      </c>
      <c r="D16" s="29" t="s">
        <v>51</v>
      </c>
      <c r="E16" s="29" t="s">
        <v>14</v>
      </c>
      <c r="F16" s="8">
        <v>20</v>
      </c>
      <c r="G16" s="9">
        <v>150000</v>
      </c>
      <c r="H16" s="9">
        <f t="shared" si="3"/>
        <v>3000000</v>
      </c>
      <c r="I16" s="9" t="s">
        <v>17</v>
      </c>
      <c r="J16" s="81">
        <v>1.2</v>
      </c>
      <c r="K16" s="83">
        <f t="shared" si="1"/>
        <v>180000</v>
      </c>
      <c r="L16" s="83">
        <f t="shared" si="2"/>
        <v>3600000</v>
      </c>
    </row>
    <row r="17" spans="1:12" s="1" customFormat="1" ht="36" customHeight="1">
      <c r="A17" s="35"/>
      <c r="B17" s="35"/>
      <c r="C17" s="10" t="s">
        <v>47</v>
      </c>
      <c r="D17" s="29" t="s">
        <v>4</v>
      </c>
      <c r="E17" s="29" t="s">
        <v>8</v>
      </c>
      <c r="F17" s="8">
        <v>1</v>
      </c>
      <c r="G17" s="9">
        <v>300000</v>
      </c>
      <c r="H17" s="9">
        <f t="shared" si="3"/>
        <v>300000</v>
      </c>
      <c r="I17" s="9" t="s">
        <v>17</v>
      </c>
      <c r="J17" s="81">
        <v>1.2</v>
      </c>
      <c r="K17" s="83">
        <f t="shared" si="1"/>
        <v>360000</v>
      </c>
      <c r="L17" s="83">
        <f t="shared" si="2"/>
        <v>360000</v>
      </c>
    </row>
    <row r="18" spans="1:12" s="1" customFormat="1" ht="26.1" customHeight="1">
      <c r="A18" s="35"/>
      <c r="B18" s="35"/>
      <c r="C18" s="10" t="s">
        <v>13</v>
      </c>
      <c r="D18" s="29" t="s">
        <v>30</v>
      </c>
      <c r="E18" s="29" t="s">
        <v>8</v>
      </c>
      <c r="F18" s="8">
        <v>10</v>
      </c>
      <c r="G18" s="9">
        <v>30000</v>
      </c>
      <c r="H18" s="9">
        <f t="shared" si="3"/>
        <v>300000</v>
      </c>
      <c r="I18" s="9" t="s">
        <v>17</v>
      </c>
      <c r="J18" s="81">
        <v>1.2</v>
      </c>
      <c r="K18" s="83">
        <f t="shared" si="1"/>
        <v>36000</v>
      </c>
      <c r="L18" s="83">
        <f t="shared" si="2"/>
        <v>360000</v>
      </c>
    </row>
    <row r="19" spans="1:12" s="1" customFormat="1" ht="138" customHeight="1">
      <c r="A19" s="29">
        <v>6</v>
      </c>
      <c r="B19" s="29" t="s">
        <v>15</v>
      </c>
      <c r="C19" s="27" t="s">
        <v>97</v>
      </c>
      <c r="D19" s="30" t="s">
        <v>95</v>
      </c>
      <c r="E19" s="30" t="s">
        <v>8</v>
      </c>
      <c r="F19" s="24">
        <v>1</v>
      </c>
      <c r="G19" s="25">
        <v>5800000</v>
      </c>
      <c r="H19" s="9">
        <f t="shared" si="3"/>
        <v>5800000</v>
      </c>
      <c r="I19" s="9" t="s">
        <v>34</v>
      </c>
      <c r="J19" s="81">
        <v>1.2</v>
      </c>
      <c r="K19" s="83">
        <f t="shared" si="1"/>
        <v>6960000</v>
      </c>
      <c r="L19" s="83">
        <f t="shared" si="2"/>
        <v>6960000</v>
      </c>
    </row>
    <row r="20" spans="1:12" s="1" customFormat="1">
      <c r="A20" s="35">
        <v>7</v>
      </c>
      <c r="B20" s="37" t="s">
        <v>5</v>
      </c>
      <c r="C20" s="10" t="s">
        <v>35</v>
      </c>
      <c r="D20" s="29" t="s">
        <v>36</v>
      </c>
      <c r="E20" s="29" t="s">
        <v>14</v>
      </c>
      <c r="F20" s="8">
        <v>60</v>
      </c>
      <c r="G20" s="9">
        <v>15000</v>
      </c>
      <c r="H20" s="9">
        <f t="shared" si="3"/>
        <v>900000</v>
      </c>
      <c r="I20" s="9" t="s">
        <v>34</v>
      </c>
      <c r="J20" s="81">
        <v>1.2</v>
      </c>
      <c r="K20" s="83">
        <f t="shared" si="1"/>
        <v>18000</v>
      </c>
      <c r="L20" s="83">
        <f t="shared" si="2"/>
        <v>1080000</v>
      </c>
    </row>
    <row r="21" spans="1:12" s="1" customFormat="1">
      <c r="A21" s="35"/>
      <c r="B21" s="37"/>
      <c r="C21" s="10" t="s">
        <v>37</v>
      </c>
      <c r="D21" s="29" t="s">
        <v>4</v>
      </c>
      <c r="E21" s="29" t="s">
        <v>7</v>
      </c>
      <c r="F21" s="8">
        <v>2</v>
      </c>
      <c r="G21" s="9">
        <v>250000</v>
      </c>
      <c r="H21" s="9">
        <f t="shared" si="3"/>
        <v>500000</v>
      </c>
      <c r="I21" s="9" t="s">
        <v>34</v>
      </c>
      <c r="J21" s="81">
        <v>1.2</v>
      </c>
      <c r="K21" s="83">
        <f t="shared" si="1"/>
        <v>300000</v>
      </c>
      <c r="L21" s="83">
        <f t="shared" si="2"/>
        <v>600000</v>
      </c>
    </row>
    <row r="22" spans="1:12" s="1" customFormat="1">
      <c r="A22" s="35"/>
      <c r="B22" s="37"/>
      <c r="C22" s="12" t="s">
        <v>19</v>
      </c>
      <c r="D22" s="29" t="s">
        <v>4</v>
      </c>
      <c r="E22" s="29" t="s">
        <v>14</v>
      </c>
      <c r="F22" s="8">
        <v>60</v>
      </c>
      <c r="G22" s="9">
        <v>15000</v>
      </c>
      <c r="H22" s="9">
        <f t="shared" si="3"/>
        <v>900000</v>
      </c>
      <c r="I22" s="9" t="s">
        <v>34</v>
      </c>
      <c r="J22" s="81">
        <v>1.2</v>
      </c>
      <c r="K22" s="83">
        <f t="shared" si="1"/>
        <v>18000</v>
      </c>
      <c r="L22" s="83">
        <f t="shared" si="2"/>
        <v>1080000</v>
      </c>
    </row>
    <row r="23" spans="1:12" s="1" customFormat="1" ht="28.5">
      <c r="A23" s="35">
        <v>8</v>
      </c>
      <c r="B23" s="35" t="s">
        <v>6</v>
      </c>
      <c r="C23" s="12" t="s">
        <v>24</v>
      </c>
      <c r="D23" s="29" t="s">
        <v>1</v>
      </c>
      <c r="E23" s="29" t="s">
        <v>8</v>
      </c>
      <c r="F23" s="8">
        <v>1</v>
      </c>
      <c r="G23" s="9">
        <v>2000000</v>
      </c>
      <c r="H23" s="9">
        <f t="shared" si="3"/>
        <v>2000000</v>
      </c>
      <c r="I23" s="9"/>
      <c r="J23" s="81">
        <v>1.2</v>
      </c>
      <c r="K23" s="83">
        <f t="shared" si="1"/>
        <v>2400000</v>
      </c>
      <c r="L23" s="83">
        <f t="shared" si="2"/>
        <v>2400000</v>
      </c>
    </row>
    <row r="24" spans="1:12" s="1" customFormat="1">
      <c r="A24" s="35"/>
      <c r="B24" s="36"/>
      <c r="C24" s="11" t="s">
        <v>38</v>
      </c>
      <c r="D24" s="29" t="s">
        <v>1</v>
      </c>
      <c r="E24" s="29" t="s">
        <v>8</v>
      </c>
      <c r="F24" s="8">
        <v>15.6</v>
      </c>
      <c r="G24" s="9">
        <v>1000000</v>
      </c>
      <c r="H24" s="9">
        <f t="shared" si="3"/>
        <v>15600000</v>
      </c>
      <c r="I24" s="9"/>
      <c r="J24" s="81">
        <v>1.2</v>
      </c>
      <c r="K24" s="83">
        <f t="shared" si="1"/>
        <v>1200000</v>
      </c>
      <c r="L24" s="83">
        <f t="shared" si="2"/>
        <v>18720000</v>
      </c>
    </row>
    <row r="25" spans="1:12" s="1" customFormat="1" ht="25.7" customHeight="1">
      <c r="A25" s="36" t="s">
        <v>39</v>
      </c>
      <c r="B25" s="36"/>
      <c r="C25" s="36"/>
      <c r="D25" s="36"/>
      <c r="E25" s="36"/>
      <c r="F25" s="13"/>
      <c r="G25" s="13"/>
      <c r="H25" s="14">
        <f>SUM(H2:H24)</f>
        <v>167475555.55555555</v>
      </c>
      <c r="I25" s="10"/>
      <c r="J25" s="81"/>
      <c r="K25" s="83">
        <f t="shared" si="1"/>
        <v>0</v>
      </c>
      <c r="L25" s="85">
        <f>SUM(L2:L24)</f>
        <v>199094555.55555555</v>
      </c>
    </row>
    <row r="26" spans="1:12" ht="27.6" customHeight="1"/>
  </sheetData>
  <mergeCells count="11">
    <mergeCell ref="A4:A6"/>
    <mergeCell ref="B4:B6"/>
    <mergeCell ref="A7:A13"/>
    <mergeCell ref="B7:B13"/>
    <mergeCell ref="A14:A18"/>
    <mergeCell ref="B14:B18"/>
    <mergeCell ref="A20:A22"/>
    <mergeCell ref="B20:B22"/>
    <mergeCell ref="A23:A24"/>
    <mergeCell ref="B23:B24"/>
    <mergeCell ref="A25:E2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E7972-EE15-4414-B791-0F4B1C2BB1F1}">
  <sheetPr>
    <tabColor rgb="FF00B050"/>
  </sheetPr>
  <dimension ref="A1:M26"/>
  <sheetViews>
    <sheetView workbookViewId="0">
      <pane ySplit="1" topLeftCell="A2" activePane="bottomLeft" state="frozen"/>
      <selection activeCell="G1" sqref="G1"/>
      <selection pane="bottomLeft" activeCell="A7" sqref="A7:A13"/>
    </sheetView>
  </sheetViews>
  <sheetFormatPr defaultColWidth="15.7109375" defaultRowHeight="20.25"/>
  <cols>
    <col min="1" max="1" width="4.7109375" style="2" bestFit="1" customWidth="1"/>
    <col min="2" max="2" width="16.42578125" style="3" customWidth="1"/>
    <col min="3" max="3" width="49.85546875" style="2" customWidth="1"/>
    <col min="4" max="4" width="13.28515625" style="4" customWidth="1"/>
    <col min="5" max="5" width="11.140625" style="4" customWidth="1"/>
    <col min="6" max="6" width="16.42578125" style="4" customWidth="1"/>
    <col min="7" max="8" width="16.42578125" style="4" hidden="1" customWidth="1"/>
    <col min="9" max="9" width="12.85546875" style="5" hidden="1" customWidth="1"/>
    <col min="10" max="10" width="13.28515625" style="76" hidden="1" customWidth="1"/>
    <col min="11" max="11" width="21.42578125" style="77" customWidth="1"/>
    <col min="12" max="12" width="23.42578125" style="77" bestFit="1" customWidth="1"/>
    <col min="13" max="16384" width="15.7109375" style="2"/>
  </cols>
  <sheetData>
    <row r="1" spans="1:13" s="1" customFormat="1" ht="37.35" customHeight="1">
      <c r="A1" s="17" t="s">
        <v>46</v>
      </c>
      <c r="B1" s="18" t="s">
        <v>45</v>
      </c>
      <c r="C1" s="18" t="s">
        <v>49</v>
      </c>
      <c r="D1" s="17" t="s">
        <v>44</v>
      </c>
      <c r="E1" s="17" t="s">
        <v>43</v>
      </c>
      <c r="F1" s="7" t="s">
        <v>42</v>
      </c>
      <c r="G1" s="15" t="s">
        <v>48</v>
      </c>
      <c r="H1" s="7" t="s">
        <v>40</v>
      </c>
      <c r="I1" s="16" t="s">
        <v>41</v>
      </c>
      <c r="J1" s="78"/>
      <c r="K1" s="82" t="s">
        <v>103</v>
      </c>
      <c r="L1" s="82" t="s">
        <v>104</v>
      </c>
    </row>
    <row r="2" spans="1:13" s="1" customFormat="1" ht="90.95" customHeight="1">
      <c r="A2" s="29">
        <v>1</v>
      </c>
      <c r="B2" s="29" t="s">
        <v>9</v>
      </c>
      <c r="C2" s="22" t="s">
        <v>59</v>
      </c>
      <c r="D2" s="23" t="s">
        <v>53</v>
      </c>
      <c r="E2" s="30" t="s">
        <v>12</v>
      </c>
      <c r="F2" s="24">
        <v>26</v>
      </c>
      <c r="G2" s="25">
        <f>2380000/1.08</f>
        <v>2203703.7037037034</v>
      </c>
      <c r="H2" s="9">
        <f>F2*G2</f>
        <v>57296296.296296284</v>
      </c>
      <c r="I2" s="9" t="s">
        <v>54</v>
      </c>
      <c r="J2" s="78">
        <v>1.18</v>
      </c>
      <c r="K2" s="79">
        <f>J2*G2</f>
        <v>2600370.3703703699</v>
      </c>
      <c r="L2" s="79">
        <f>K2*F2</f>
        <v>67609629.629629612</v>
      </c>
    </row>
    <row r="3" spans="1:13" s="1" customFormat="1" ht="83.1" customHeight="1">
      <c r="A3" s="29">
        <v>2</v>
      </c>
      <c r="B3" s="29" t="s">
        <v>18</v>
      </c>
      <c r="C3" s="22" t="s">
        <v>99</v>
      </c>
      <c r="D3" s="30" t="s">
        <v>56</v>
      </c>
      <c r="E3" s="24" t="s">
        <v>8</v>
      </c>
      <c r="F3" s="24">
        <v>1</v>
      </c>
      <c r="G3" s="25">
        <v>38000000</v>
      </c>
      <c r="H3" s="9">
        <f t="shared" ref="H3" si="0">F3*G3</f>
        <v>38000000</v>
      </c>
      <c r="I3" s="9" t="s">
        <v>57</v>
      </c>
      <c r="J3" s="78">
        <v>1.2</v>
      </c>
      <c r="K3" s="79">
        <f t="shared" ref="K3:K25" si="1">J3*G3</f>
        <v>45600000</v>
      </c>
      <c r="L3" s="79">
        <f t="shared" ref="L3:L25" si="2">K3*F3</f>
        <v>45600000</v>
      </c>
    </row>
    <row r="4" spans="1:13" s="1" customFormat="1" ht="71.45" customHeight="1">
      <c r="A4" s="35">
        <v>3</v>
      </c>
      <c r="B4" s="35" t="s">
        <v>10</v>
      </c>
      <c r="C4" s="22" t="s">
        <v>60</v>
      </c>
      <c r="D4" s="30" t="s">
        <v>100</v>
      </c>
      <c r="E4" s="24" t="s">
        <v>8</v>
      </c>
      <c r="F4" s="24">
        <v>1</v>
      </c>
      <c r="G4" s="25">
        <f>50000000/1.08</f>
        <v>46296296.296296291</v>
      </c>
      <c r="H4" s="9">
        <f>F4*G4</f>
        <v>46296296.296296291</v>
      </c>
      <c r="I4" s="9" t="s">
        <v>57</v>
      </c>
      <c r="J4" s="80">
        <v>1.18</v>
      </c>
      <c r="K4" s="79">
        <f t="shared" si="1"/>
        <v>54629629.629629619</v>
      </c>
      <c r="L4" s="79">
        <f t="shared" si="2"/>
        <v>54629629.629629619</v>
      </c>
      <c r="M4" s="28"/>
    </row>
    <row r="5" spans="1:13" s="1" customFormat="1" ht="26.45" customHeight="1">
      <c r="A5" s="35"/>
      <c r="B5" s="35"/>
      <c r="C5" s="10" t="s">
        <v>27</v>
      </c>
      <c r="D5" s="29" t="s">
        <v>1</v>
      </c>
      <c r="E5" s="29" t="s">
        <v>8</v>
      </c>
      <c r="F5" s="24">
        <v>1</v>
      </c>
      <c r="G5" s="9">
        <v>800000</v>
      </c>
      <c r="H5" s="9">
        <f t="shared" ref="H5:H24" si="3">F5*G5</f>
        <v>800000</v>
      </c>
      <c r="I5" s="9" t="s">
        <v>17</v>
      </c>
      <c r="J5" s="80">
        <v>1.18</v>
      </c>
      <c r="K5" s="79">
        <f t="shared" si="1"/>
        <v>944000</v>
      </c>
      <c r="L5" s="79">
        <f t="shared" si="2"/>
        <v>944000</v>
      </c>
      <c r="M5" s="28"/>
    </row>
    <row r="6" spans="1:13" s="1" customFormat="1" ht="26.45" customHeight="1">
      <c r="A6" s="35"/>
      <c r="B6" s="35"/>
      <c r="C6" s="10" t="s">
        <v>28</v>
      </c>
      <c r="D6" s="29" t="s">
        <v>4</v>
      </c>
      <c r="E6" s="29" t="s">
        <v>8</v>
      </c>
      <c r="F6" s="24">
        <v>1</v>
      </c>
      <c r="G6" s="9">
        <v>100000</v>
      </c>
      <c r="H6" s="9">
        <f t="shared" si="3"/>
        <v>100000</v>
      </c>
      <c r="I6" s="9" t="s">
        <v>17</v>
      </c>
      <c r="J6" s="80">
        <v>1.18</v>
      </c>
      <c r="K6" s="79">
        <f t="shared" si="1"/>
        <v>118000</v>
      </c>
      <c r="L6" s="79">
        <f t="shared" si="2"/>
        <v>118000</v>
      </c>
      <c r="M6" s="28"/>
    </row>
    <row r="7" spans="1:13" s="1" customFormat="1">
      <c r="A7" s="35">
        <v>4</v>
      </c>
      <c r="B7" s="35" t="s">
        <v>2</v>
      </c>
      <c r="C7" s="11" t="s">
        <v>0</v>
      </c>
      <c r="D7" s="29" t="s">
        <v>4</v>
      </c>
      <c r="E7" s="29" t="s">
        <v>7</v>
      </c>
      <c r="F7" s="24">
        <v>33</v>
      </c>
      <c r="G7" s="9">
        <v>11000</v>
      </c>
      <c r="H7" s="9">
        <f t="shared" si="3"/>
        <v>363000</v>
      </c>
      <c r="I7" s="9" t="s">
        <v>17</v>
      </c>
      <c r="J7" s="80">
        <v>1.2</v>
      </c>
      <c r="K7" s="79">
        <f t="shared" si="1"/>
        <v>13200</v>
      </c>
      <c r="L7" s="79">
        <f t="shared" si="2"/>
        <v>435600</v>
      </c>
      <c r="M7" s="28"/>
    </row>
    <row r="8" spans="1:13" s="1" customFormat="1">
      <c r="A8" s="35"/>
      <c r="B8" s="35"/>
      <c r="C8" s="11" t="s">
        <v>11</v>
      </c>
      <c r="D8" s="29" t="s">
        <v>4</v>
      </c>
      <c r="E8" s="29" t="s">
        <v>7</v>
      </c>
      <c r="F8" s="24">
        <v>45</v>
      </c>
      <c r="G8" s="9">
        <v>11000</v>
      </c>
      <c r="H8" s="9">
        <f t="shared" si="3"/>
        <v>495000</v>
      </c>
      <c r="I8" s="9" t="s">
        <v>17</v>
      </c>
      <c r="J8" s="80">
        <v>1.2</v>
      </c>
      <c r="K8" s="79">
        <f t="shared" si="1"/>
        <v>13200</v>
      </c>
      <c r="L8" s="79">
        <f t="shared" si="2"/>
        <v>594000</v>
      </c>
      <c r="M8" s="28"/>
    </row>
    <row r="9" spans="1:13" s="1" customFormat="1">
      <c r="A9" s="35"/>
      <c r="B9" s="35"/>
      <c r="C9" s="11" t="s">
        <v>29</v>
      </c>
      <c r="D9" s="29" t="s">
        <v>4</v>
      </c>
      <c r="E9" s="29" t="s">
        <v>7</v>
      </c>
      <c r="F9" s="24">
        <v>15</v>
      </c>
      <c r="G9" s="9">
        <v>360000</v>
      </c>
      <c r="H9" s="9">
        <f t="shared" si="3"/>
        <v>5400000</v>
      </c>
      <c r="I9" s="9" t="s">
        <v>17</v>
      </c>
      <c r="J9" s="80">
        <v>1.2</v>
      </c>
      <c r="K9" s="79">
        <f t="shared" si="1"/>
        <v>432000</v>
      </c>
      <c r="L9" s="79">
        <f t="shared" si="2"/>
        <v>6480000</v>
      </c>
      <c r="M9" s="28"/>
    </row>
    <row r="10" spans="1:13" s="1" customFormat="1">
      <c r="A10" s="35"/>
      <c r="B10" s="35"/>
      <c r="C10" s="11" t="s">
        <v>20</v>
      </c>
      <c r="D10" s="29" t="s">
        <v>4</v>
      </c>
      <c r="E10" s="29" t="s">
        <v>7</v>
      </c>
      <c r="F10" s="24">
        <v>15</v>
      </c>
      <c r="G10" s="9">
        <v>20000</v>
      </c>
      <c r="H10" s="9">
        <f t="shared" si="3"/>
        <v>300000</v>
      </c>
      <c r="I10" s="9" t="s">
        <v>17</v>
      </c>
      <c r="J10" s="80">
        <v>1.2</v>
      </c>
      <c r="K10" s="79">
        <f t="shared" si="1"/>
        <v>24000</v>
      </c>
      <c r="L10" s="79">
        <f t="shared" si="2"/>
        <v>360000</v>
      </c>
      <c r="M10" s="28" t="s">
        <v>86</v>
      </c>
    </row>
    <row r="11" spans="1:13" s="1" customFormat="1">
      <c r="A11" s="35"/>
      <c r="B11" s="35"/>
      <c r="C11" s="11" t="s">
        <v>21</v>
      </c>
      <c r="D11" s="29" t="s">
        <v>4</v>
      </c>
      <c r="E11" s="29" t="s">
        <v>7</v>
      </c>
      <c r="F11" s="8">
        <v>70</v>
      </c>
      <c r="G11" s="9">
        <v>20000</v>
      </c>
      <c r="H11" s="9">
        <f t="shared" si="3"/>
        <v>1400000</v>
      </c>
      <c r="I11" s="9" t="s">
        <v>17</v>
      </c>
      <c r="J11" s="80">
        <v>1.2</v>
      </c>
      <c r="K11" s="79">
        <f t="shared" si="1"/>
        <v>24000</v>
      </c>
      <c r="L11" s="79">
        <f t="shared" si="2"/>
        <v>1680000</v>
      </c>
      <c r="M11" s="28"/>
    </row>
    <row r="12" spans="1:13" s="1" customFormat="1">
      <c r="A12" s="35"/>
      <c r="B12" s="35"/>
      <c r="C12" s="11" t="s">
        <v>25</v>
      </c>
      <c r="D12" s="29" t="s">
        <v>4</v>
      </c>
      <c r="E12" s="29" t="s">
        <v>7</v>
      </c>
      <c r="F12" s="8">
        <v>45</v>
      </c>
      <c r="G12" s="9">
        <v>20000</v>
      </c>
      <c r="H12" s="9">
        <f t="shared" si="3"/>
        <v>900000</v>
      </c>
      <c r="I12" s="9" t="s">
        <v>17</v>
      </c>
      <c r="J12" s="80">
        <v>1.2</v>
      </c>
      <c r="K12" s="79">
        <f t="shared" si="1"/>
        <v>24000</v>
      </c>
      <c r="L12" s="79">
        <f t="shared" si="2"/>
        <v>1080000</v>
      </c>
      <c r="M12" s="28"/>
    </row>
    <row r="13" spans="1:13" s="1" customFormat="1">
      <c r="A13" s="35"/>
      <c r="B13" s="35"/>
      <c r="C13" s="11" t="s">
        <v>26</v>
      </c>
      <c r="D13" s="29" t="s">
        <v>4</v>
      </c>
      <c r="E13" s="29" t="s">
        <v>7</v>
      </c>
      <c r="F13" s="8">
        <f>F8</f>
        <v>45</v>
      </c>
      <c r="G13" s="9">
        <v>2000</v>
      </c>
      <c r="H13" s="9">
        <f t="shared" si="3"/>
        <v>90000</v>
      </c>
      <c r="I13" s="9" t="s">
        <v>17</v>
      </c>
      <c r="J13" s="78">
        <v>1.2</v>
      </c>
      <c r="K13" s="79">
        <f t="shared" si="1"/>
        <v>2400</v>
      </c>
      <c r="L13" s="79">
        <f t="shared" si="2"/>
        <v>108000</v>
      </c>
    </row>
    <row r="14" spans="1:13" s="1" customFormat="1" ht="33.6" customHeight="1">
      <c r="A14" s="35">
        <v>5</v>
      </c>
      <c r="B14" s="35" t="s">
        <v>3</v>
      </c>
      <c r="C14" s="10" t="s">
        <v>22</v>
      </c>
      <c r="D14" s="29" t="s">
        <v>30</v>
      </c>
      <c r="E14" s="29" t="s">
        <v>14</v>
      </c>
      <c r="F14" s="8">
        <v>100</v>
      </c>
      <c r="G14" s="9">
        <v>20000</v>
      </c>
      <c r="H14" s="9">
        <f t="shared" si="3"/>
        <v>2000000</v>
      </c>
      <c r="I14" s="9" t="s">
        <v>17</v>
      </c>
      <c r="J14" s="78">
        <v>1.2</v>
      </c>
      <c r="K14" s="79">
        <f t="shared" si="1"/>
        <v>24000</v>
      </c>
      <c r="L14" s="79">
        <f t="shared" si="2"/>
        <v>2400000</v>
      </c>
    </row>
    <row r="15" spans="1:13" s="1" customFormat="1" ht="32.450000000000003" customHeight="1">
      <c r="A15" s="35"/>
      <c r="B15" s="35"/>
      <c r="C15" s="10" t="s">
        <v>23</v>
      </c>
      <c r="D15" s="29" t="s">
        <v>30</v>
      </c>
      <c r="E15" s="29" t="s">
        <v>14</v>
      </c>
      <c r="F15" s="8">
        <v>100</v>
      </c>
      <c r="G15" s="9">
        <v>20000</v>
      </c>
      <c r="H15" s="9">
        <f t="shared" si="3"/>
        <v>2000000</v>
      </c>
      <c r="I15" s="9" t="s">
        <v>17</v>
      </c>
      <c r="J15" s="78">
        <v>1.2</v>
      </c>
      <c r="K15" s="79">
        <f t="shared" si="1"/>
        <v>24000</v>
      </c>
      <c r="L15" s="79">
        <f t="shared" si="2"/>
        <v>2400000</v>
      </c>
    </row>
    <row r="16" spans="1:13" s="1" customFormat="1" ht="57">
      <c r="A16" s="35"/>
      <c r="B16" s="35"/>
      <c r="C16" s="10" t="s">
        <v>50</v>
      </c>
      <c r="D16" s="29" t="s">
        <v>51</v>
      </c>
      <c r="E16" s="29" t="s">
        <v>14</v>
      </c>
      <c r="F16" s="8">
        <v>20</v>
      </c>
      <c r="G16" s="9">
        <v>150000</v>
      </c>
      <c r="H16" s="9">
        <f t="shared" si="3"/>
        <v>3000000</v>
      </c>
      <c r="I16" s="9" t="s">
        <v>17</v>
      </c>
      <c r="J16" s="78">
        <v>1.2</v>
      </c>
      <c r="K16" s="79">
        <f t="shared" si="1"/>
        <v>180000</v>
      </c>
      <c r="L16" s="79">
        <f t="shared" si="2"/>
        <v>3600000</v>
      </c>
    </row>
    <row r="17" spans="1:12" s="1" customFormat="1" ht="36" customHeight="1">
      <c r="A17" s="35"/>
      <c r="B17" s="35"/>
      <c r="C17" s="10" t="s">
        <v>47</v>
      </c>
      <c r="D17" s="29" t="s">
        <v>4</v>
      </c>
      <c r="E17" s="29" t="s">
        <v>8</v>
      </c>
      <c r="F17" s="8">
        <v>1</v>
      </c>
      <c r="G17" s="9">
        <v>300000</v>
      </c>
      <c r="H17" s="9">
        <f t="shared" si="3"/>
        <v>300000</v>
      </c>
      <c r="I17" s="9" t="s">
        <v>17</v>
      </c>
      <c r="J17" s="78">
        <v>1.2</v>
      </c>
      <c r="K17" s="79">
        <f t="shared" si="1"/>
        <v>360000</v>
      </c>
      <c r="L17" s="79">
        <f t="shared" si="2"/>
        <v>360000</v>
      </c>
    </row>
    <row r="18" spans="1:12" s="1" customFormat="1" ht="26.1" customHeight="1">
      <c r="A18" s="35"/>
      <c r="B18" s="35"/>
      <c r="C18" s="10" t="s">
        <v>13</v>
      </c>
      <c r="D18" s="29" t="s">
        <v>30</v>
      </c>
      <c r="E18" s="29" t="s">
        <v>8</v>
      </c>
      <c r="F18" s="8">
        <v>10</v>
      </c>
      <c r="G18" s="9">
        <v>30000</v>
      </c>
      <c r="H18" s="9">
        <f t="shared" si="3"/>
        <v>300000</v>
      </c>
      <c r="I18" s="9" t="s">
        <v>17</v>
      </c>
      <c r="J18" s="78">
        <v>1.2</v>
      </c>
      <c r="K18" s="79">
        <f t="shared" si="1"/>
        <v>36000</v>
      </c>
      <c r="L18" s="79">
        <f t="shared" si="2"/>
        <v>360000</v>
      </c>
    </row>
    <row r="19" spans="1:12" s="1" customFormat="1" ht="138" customHeight="1">
      <c r="A19" s="29">
        <v>6</v>
      </c>
      <c r="B19" s="29" t="s">
        <v>15</v>
      </c>
      <c r="C19" s="27" t="s">
        <v>101</v>
      </c>
      <c r="D19" s="30" t="s">
        <v>95</v>
      </c>
      <c r="E19" s="30" t="s">
        <v>8</v>
      </c>
      <c r="F19" s="24">
        <v>1</v>
      </c>
      <c r="G19" s="25">
        <v>6000000</v>
      </c>
      <c r="H19" s="9">
        <f t="shared" si="3"/>
        <v>6000000</v>
      </c>
      <c r="I19" s="9" t="s">
        <v>34</v>
      </c>
      <c r="J19" s="78">
        <v>1.2</v>
      </c>
      <c r="K19" s="79">
        <f t="shared" si="1"/>
        <v>7200000</v>
      </c>
      <c r="L19" s="79">
        <f t="shared" si="2"/>
        <v>7200000</v>
      </c>
    </row>
    <row r="20" spans="1:12" s="1" customFormat="1">
      <c r="A20" s="35">
        <v>7</v>
      </c>
      <c r="B20" s="37" t="s">
        <v>5</v>
      </c>
      <c r="C20" s="10" t="s">
        <v>35</v>
      </c>
      <c r="D20" s="29" t="s">
        <v>36</v>
      </c>
      <c r="E20" s="29" t="s">
        <v>14</v>
      </c>
      <c r="F20" s="8">
        <v>60</v>
      </c>
      <c r="G20" s="9">
        <v>15000</v>
      </c>
      <c r="H20" s="9">
        <f t="shared" si="3"/>
        <v>900000</v>
      </c>
      <c r="I20" s="9" t="s">
        <v>34</v>
      </c>
      <c r="J20" s="78">
        <v>1.2</v>
      </c>
      <c r="K20" s="79">
        <f t="shared" si="1"/>
        <v>18000</v>
      </c>
      <c r="L20" s="79">
        <f t="shared" si="2"/>
        <v>1080000</v>
      </c>
    </row>
    <row r="21" spans="1:12" s="1" customFormat="1">
      <c r="A21" s="35"/>
      <c r="B21" s="37"/>
      <c r="C21" s="10" t="s">
        <v>37</v>
      </c>
      <c r="D21" s="29" t="s">
        <v>4</v>
      </c>
      <c r="E21" s="29" t="s">
        <v>7</v>
      </c>
      <c r="F21" s="8">
        <v>2</v>
      </c>
      <c r="G21" s="9">
        <v>250000</v>
      </c>
      <c r="H21" s="9">
        <f t="shared" si="3"/>
        <v>500000</v>
      </c>
      <c r="I21" s="9" t="s">
        <v>34</v>
      </c>
      <c r="J21" s="78">
        <v>1.2</v>
      </c>
      <c r="K21" s="79">
        <f t="shared" si="1"/>
        <v>300000</v>
      </c>
      <c r="L21" s="79">
        <f t="shared" si="2"/>
        <v>600000</v>
      </c>
    </row>
    <row r="22" spans="1:12" s="1" customFormat="1">
      <c r="A22" s="35"/>
      <c r="B22" s="37"/>
      <c r="C22" s="12" t="s">
        <v>19</v>
      </c>
      <c r="D22" s="29" t="s">
        <v>4</v>
      </c>
      <c r="E22" s="29" t="s">
        <v>14</v>
      </c>
      <c r="F22" s="8">
        <v>60</v>
      </c>
      <c r="G22" s="9">
        <v>15000</v>
      </c>
      <c r="H22" s="9">
        <f t="shared" si="3"/>
        <v>900000</v>
      </c>
      <c r="I22" s="9" t="s">
        <v>34</v>
      </c>
      <c r="J22" s="78">
        <v>1.2</v>
      </c>
      <c r="K22" s="79">
        <f t="shared" si="1"/>
        <v>18000</v>
      </c>
      <c r="L22" s="79">
        <f t="shared" si="2"/>
        <v>1080000</v>
      </c>
    </row>
    <row r="23" spans="1:12" s="1" customFormat="1" ht="28.5">
      <c r="A23" s="35">
        <v>8</v>
      </c>
      <c r="B23" s="35" t="s">
        <v>6</v>
      </c>
      <c r="C23" s="12" t="s">
        <v>24</v>
      </c>
      <c r="D23" s="29" t="s">
        <v>1</v>
      </c>
      <c r="E23" s="29" t="s">
        <v>8</v>
      </c>
      <c r="F23" s="8">
        <v>1</v>
      </c>
      <c r="G23" s="9">
        <v>2000000</v>
      </c>
      <c r="H23" s="9">
        <f t="shared" si="3"/>
        <v>2000000</v>
      </c>
      <c r="I23" s="9"/>
      <c r="J23" s="78">
        <v>1.2</v>
      </c>
      <c r="K23" s="79">
        <f t="shared" si="1"/>
        <v>2400000</v>
      </c>
      <c r="L23" s="79">
        <f t="shared" si="2"/>
        <v>2400000</v>
      </c>
    </row>
    <row r="24" spans="1:12" s="1" customFormat="1">
      <c r="A24" s="35"/>
      <c r="B24" s="36"/>
      <c r="C24" s="11" t="s">
        <v>38</v>
      </c>
      <c r="D24" s="29" t="s">
        <v>1</v>
      </c>
      <c r="E24" s="29" t="s">
        <v>8</v>
      </c>
      <c r="F24" s="8">
        <v>16.899999999999999</v>
      </c>
      <c r="G24" s="9">
        <v>1000000</v>
      </c>
      <c r="H24" s="9">
        <f t="shared" si="3"/>
        <v>16900000</v>
      </c>
      <c r="I24" s="9"/>
      <c r="J24" s="78">
        <v>1.2</v>
      </c>
      <c r="K24" s="79">
        <f t="shared" si="1"/>
        <v>1200000</v>
      </c>
      <c r="L24" s="79">
        <f t="shared" si="2"/>
        <v>20280000</v>
      </c>
    </row>
    <row r="25" spans="1:12" s="1" customFormat="1" ht="25.7" customHeight="1">
      <c r="A25" s="36" t="s">
        <v>39</v>
      </c>
      <c r="B25" s="36"/>
      <c r="C25" s="36"/>
      <c r="D25" s="36"/>
      <c r="E25" s="36"/>
      <c r="F25" s="13"/>
      <c r="G25" s="13"/>
      <c r="H25" s="14">
        <f>SUM(H2:H24)</f>
        <v>186240592.59259257</v>
      </c>
      <c r="I25" s="10"/>
      <c r="J25" s="78"/>
      <c r="K25" s="79">
        <f t="shared" si="1"/>
        <v>0</v>
      </c>
      <c r="L25" s="53">
        <f>SUM(L2:L24)</f>
        <v>221398859.25925922</v>
      </c>
    </row>
    <row r="26" spans="1:12" ht="27.6" customHeight="1"/>
  </sheetData>
  <mergeCells count="11">
    <mergeCell ref="A4:A6"/>
    <mergeCell ref="B4:B6"/>
    <mergeCell ref="A7:A13"/>
    <mergeCell ref="B7:B13"/>
    <mergeCell ref="A14:A18"/>
    <mergeCell ref="B14:B18"/>
    <mergeCell ref="A20:A22"/>
    <mergeCell ref="B20:B22"/>
    <mergeCell ref="A23:A24"/>
    <mergeCell ref="B23:B24"/>
    <mergeCell ref="A25:E2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F38DF-15B7-44C0-8681-DA1A67C50E9F}">
  <sheetPr>
    <tabColor rgb="FF00B050"/>
  </sheetPr>
  <dimension ref="A1:U26"/>
  <sheetViews>
    <sheetView tabSelected="1" workbookViewId="0">
      <pane ySplit="1" topLeftCell="A5" activePane="bottomLeft" state="frozen"/>
      <selection activeCell="F1" sqref="F1"/>
      <selection pane="bottomLeft" activeCell="C18" sqref="C18"/>
    </sheetView>
  </sheetViews>
  <sheetFormatPr defaultColWidth="15.7109375" defaultRowHeight="20.25"/>
  <cols>
    <col min="1" max="1" width="4.7109375" style="2" bestFit="1" customWidth="1"/>
    <col min="2" max="2" width="16.42578125" style="3" customWidth="1"/>
    <col min="3" max="3" width="49.85546875" style="2" customWidth="1"/>
    <col min="4" max="4" width="13.28515625" style="4" customWidth="1"/>
    <col min="5" max="5" width="11.140625" style="4" customWidth="1"/>
    <col min="6" max="6" width="16.42578125" style="4" customWidth="1"/>
    <col min="7" max="8" width="16.42578125" style="4" hidden="1" customWidth="1"/>
    <col min="9" max="9" width="12.85546875" style="5" hidden="1" customWidth="1"/>
    <col min="10" max="10" width="0" style="2" hidden="1" customWidth="1"/>
    <col min="11" max="11" width="21.5703125" style="66" customWidth="1"/>
    <col min="12" max="12" width="23.42578125" style="66" bestFit="1" customWidth="1"/>
    <col min="13" max="16384" width="15.7109375" style="2"/>
  </cols>
  <sheetData>
    <row r="1" spans="1:21" s="1" customFormat="1" ht="37.35" customHeight="1">
      <c r="A1" s="17" t="s">
        <v>46</v>
      </c>
      <c r="B1" s="18" t="s">
        <v>45</v>
      </c>
      <c r="C1" s="18" t="s">
        <v>49</v>
      </c>
      <c r="D1" s="17" t="s">
        <v>44</v>
      </c>
      <c r="E1" s="17" t="s">
        <v>43</v>
      </c>
      <c r="F1" s="7" t="s">
        <v>42</v>
      </c>
      <c r="G1" s="15" t="s">
        <v>48</v>
      </c>
      <c r="H1" s="7" t="s">
        <v>40</v>
      </c>
      <c r="I1" s="16" t="s">
        <v>41</v>
      </c>
      <c r="J1" s="86"/>
      <c r="K1" s="90" t="s">
        <v>103</v>
      </c>
      <c r="L1" s="90" t="s">
        <v>104</v>
      </c>
    </row>
    <row r="2" spans="1:21" s="1" customFormat="1" ht="90.95" customHeight="1">
      <c r="A2" s="29">
        <v>1</v>
      </c>
      <c r="B2" s="29" t="s">
        <v>9</v>
      </c>
      <c r="C2" s="22" t="s">
        <v>59</v>
      </c>
      <c r="D2" s="23" t="s">
        <v>53</v>
      </c>
      <c r="E2" s="30" t="s">
        <v>12</v>
      </c>
      <c r="F2" s="24">
        <v>28</v>
      </c>
      <c r="G2" s="25">
        <f>2380000/1.08</f>
        <v>2203703.7037037034</v>
      </c>
      <c r="H2" s="9">
        <f>F2*G2</f>
        <v>61703703.703703694</v>
      </c>
      <c r="I2" s="9" t="s">
        <v>54</v>
      </c>
      <c r="J2" s="87">
        <v>1.18</v>
      </c>
      <c r="K2" s="91">
        <f>J2*G2</f>
        <v>2600370.3703703699</v>
      </c>
      <c r="L2" s="91">
        <f>K2*F2</f>
        <v>72810370.370370358</v>
      </c>
    </row>
    <row r="3" spans="1:21" s="1" customFormat="1" ht="83.1" customHeight="1">
      <c r="A3" s="29">
        <v>2</v>
      </c>
      <c r="B3" s="29" t="s">
        <v>18</v>
      </c>
      <c r="C3" s="22" t="s">
        <v>102</v>
      </c>
      <c r="D3" s="30" t="s">
        <v>56</v>
      </c>
      <c r="E3" s="24" t="s">
        <v>8</v>
      </c>
      <c r="F3" s="24">
        <v>1</v>
      </c>
      <c r="G3" s="25">
        <f>46300000/1.08</f>
        <v>42870370.370370366</v>
      </c>
      <c r="H3" s="9">
        <f t="shared" ref="H3" si="0">F3*G3</f>
        <v>42870370.370370366</v>
      </c>
      <c r="I3" s="9" t="s">
        <v>57</v>
      </c>
      <c r="J3" s="87">
        <v>1.23</v>
      </c>
      <c r="K3" s="91">
        <f t="shared" ref="K3:K25" si="1">J3*G3</f>
        <v>52730555.555555552</v>
      </c>
      <c r="L3" s="91">
        <f t="shared" ref="L3:L24" si="2">K3*F3</f>
        <v>52730555.555555552</v>
      </c>
    </row>
    <row r="4" spans="1:21" s="1" customFormat="1" ht="71.45" customHeight="1">
      <c r="A4" s="35">
        <v>3</v>
      </c>
      <c r="B4" s="35" t="s">
        <v>10</v>
      </c>
      <c r="C4" s="22" t="s">
        <v>60</v>
      </c>
      <c r="D4" s="30" t="s">
        <v>100</v>
      </c>
      <c r="E4" s="24" t="s">
        <v>8</v>
      </c>
      <c r="F4" s="24">
        <v>1</v>
      </c>
      <c r="G4" s="25">
        <f>50000000/1.08</f>
        <v>46296296.296296291</v>
      </c>
      <c r="H4" s="9">
        <f>F4*G4</f>
        <v>46296296.296296291</v>
      </c>
      <c r="I4" s="9" t="s">
        <v>57</v>
      </c>
      <c r="J4" s="88">
        <v>1.18</v>
      </c>
      <c r="K4" s="91">
        <f t="shared" si="1"/>
        <v>54629629.629629619</v>
      </c>
      <c r="L4" s="91">
        <f t="shared" si="2"/>
        <v>54629629.629629619</v>
      </c>
      <c r="M4" s="28"/>
      <c r="N4" s="28"/>
      <c r="O4" s="28"/>
      <c r="P4" s="28"/>
      <c r="Q4" s="28"/>
      <c r="R4" s="28"/>
      <c r="S4" s="28"/>
      <c r="T4" s="28"/>
      <c r="U4" s="28"/>
    </row>
    <row r="5" spans="1:21" s="1" customFormat="1" ht="26.45" customHeight="1">
      <c r="A5" s="35"/>
      <c r="B5" s="35"/>
      <c r="C5" s="10" t="s">
        <v>27</v>
      </c>
      <c r="D5" s="29" t="s">
        <v>1</v>
      </c>
      <c r="E5" s="29" t="s">
        <v>8</v>
      </c>
      <c r="F5" s="24">
        <v>1</v>
      </c>
      <c r="G5" s="9">
        <v>800000</v>
      </c>
      <c r="H5" s="9">
        <f t="shared" ref="H5:H24" si="3">F5*G5</f>
        <v>800000</v>
      </c>
      <c r="I5" s="9" t="s">
        <v>17</v>
      </c>
      <c r="J5" s="88">
        <v>1.18</v>
      </c>
      <c r="K5" s="91">
        <f t="shared" si="1"/>
        <v>944000</v>
      </c>
      <c r="L5" s="91">
        <f t="shared" si="2"/>
        <v>944000</v>
      </c>
      <c r="M5" s="28"/>
      <c r="N5" s="28"/>
      <c r="O5" s="28"/>
      <c r="P5" s="28"/>
      <c r="Q5" s="28"/>
      <c r="R5" s="28"/>
      <c r="S5" s="28"/>
      <c r="T5" s="28"/>
      <c r="U5" s="28"/>
    </row>
    <row r="6" spans="1:21" s="1" customFormat="1" ht="26.45" customHeight="1">
      <c r="A6" s="35"/>
      <c r="B6" s="35"/>
      <c r="C6" s="10" t="s">
        <v>28</v>
      </c>
      <c r="D6" s="29" t="s">
        <v>4</v>
      </c>
      <c r="E6" s="29" t="s">
        <v>8</v>
      </c>
      <c r="F6" s="24">
        <v>1</v>
      </c>
      <c r="G6" s="9">
        <v>100000</v>
      </c>
      <c r="H6" s="9">
        <f t="shared" si="3"/>
        <v>100000</v>
      </c>
      <c r="I6" s="9" t="s">
        <v>17</v>
      </c>
      <c r="J6" s="88">
        <v>1.18</v>
      </c>
      <c r="K6" s="91">
        <f t="shared" si="1"/>
        <v>118000</v>
      </c>
      <c r="L6" s="91">
        <f t="shared" si="2"/>
        <v>118000</v>
      </c>
      <c r="M6" s="28"/>
      <c r="N6" s="28"/>
      <c r="O6" s="28"/>
      <c r="P6" s="28"/>
      <c r="Q6" s="28"/>
      <c r="R6" s="28"/>
      <c r="S6" s="28"/>
      <c r="T6" s="28"/>
      <c r="U6" s="28"/>
    </row>
    <row r="7" spans="1:21" s="1" customFormat="1">
      <c r="A7" s="35">
        <v>4</v>
      </c>
      <c r="B7" s="35" t="s">
        <v>2</v>
      </c>
      <c r="C7" s="11" t="s">
        <v>0</v>
      </c>
      <c r="D7" s="29" t="s">
        <v>4</v>
      </c>
      <c r="E7" s="29" t="s">
        <v>7</v>
      </c>
      <c r="F7" s="24">
        <v>36</v>
      </c>
      <c r="G7" s="9">
        <v>11000</v>
      </c>
      <c r="H7" s="9">
        <f t="shared" si="3"/>
        <v>396000</v>
      </c>
      <c r="I7" s="9" t="s">
        <v>17</v>
      </c>
      <c r="J7" s="88">
        <v>1.2</v>
      </c>
      <c r="K7" s="91">
        <f t="shared" si="1"/>
        <v>13200</v>
      </c>
      <c r="L7" s="91">
        <f t="shared" si="2"/>
        <v>475200</v>
      </c>
      <c r="M7" s="28"/>
      <c r="N7" s="28"/>
      <c r="O7" s="28"/>
      <c r="P7" s="28"/>
      <c r="Q7" s="28"/>
      <c r="R7" s="28"/>
      <c r="S7" s="28"/>
      <c r="T7" s="28"/>
      <c r="U7" s="28"/>
    </row>
    <row r="8" spans="1:21" s="1" customFormat="1">
      <c r="A8" s="35"/>
      <c r="B8" s="35"/>
      <c r="C8" s="11" t="s">
        <v>11</v>
      </c>
      <c r="D8" s="29" t="s">
        <v>4</v>
      </c>
      <c r="E8" s="29" t="s">
        <v>7</v>
      </c>
      <c r="F8" s="24">
        <v>50</v>
      </c>
      <c r="G8" s="9">
        <v>11000</v>
      </c>
      <c r="H8" s="9">
        <f t="shared" si="3"/>
        <v>550000</v>
      </c>
      <c r="I8" s="9" t="s">
        <v>17</v>
      </c>
      <c r="J8" s="88">
        <v>1.2</v>
      </c>
      <c r="K8" s="91">
        <f t="shared" si="1"/>
        <v>13200</v>
      </c>
      <c r="L8" s="91">
        <f t="shared" si="2"/>
        <v>660000</v>
      </c>
      <c r="M8" s="28"/>
      <c r="N8" s="28"/>
      <c r="O8" s="28"/>
      <c r="P8" s="28"/>
      <c r="Q8" s="28"/>
      <c r="R8" s="28"/>
      <c r="S8" s="28"/>
      <c r="T8" s="28"/>
      <c r="U8" s="28"/>
    </row>
    <row r="9" spans="1:21" s="1" customFormat="1">
      <c r="A9" s="35"/>
      <c r="B9" s="35"/>
      <c r="C9" s="11" t="s">
        <v>29</v>
      </c>
      <c r="D9" s="29" t="s">
        <v>4</v>
      </c>
      <c r="E9" s="29" t="s">
        <v>7</v>
      </c>
      <c r="F9" s="24">
        <v>16</v>
      </c>
      <c r="G9" s="9">
        <v>360000</v>
      </c>
      <c r="H9" s="9">
        <f t="shared" si="3"/>
        <v>5760000</v>
      </c>
      <c r="I9" s="9" t="s">
        <v>17</v>
      </c>
      <c r="J9" s="88">
        <v>1.2</v>
      </c>
      <c r="K9" s="91">
        <f t="shared" si="1"/>
        <v>432000</v>
      </c>
      <c r="L9" s="91">
        <f t="shared" si="2"/>
        <v>6912000</v>
      </c>
      <c r="M9" s="28"/>
      <c r="N9" s="28"/>
      <c r="O9" s="28"/>
      <c r="P9" s="28"/>
      <c r="Q9" s="28"/>
      <c r="R9" s="28"/>
      <c r="S9" s="28"/>
      <c r="T9" s="28"/>
      <c r="U9" s="28"/>
    </row>
    <row r="10" spans="1:21" s="1" customFormat="1">
      <c r="A10" s="35"/>
      <c r="B10" s="35"/>
      <c r="C10" s="11" t="s">
        <v>20</v>
      </c>
      <c r="D10" s="29" t="s">
        <v>4</v>
      </c>
      <c r="E10" s="29" t="s">
        <v>7</v>
      </c>
      <c r="F10" s="24">
        <v>16</v>
      </c>
      <c r="G10" s="9">
        <v>20000</v>
      </c>
      <c r="H10" s="9">
        <f t="shared" si="3"/>
        <v>320000</v>
      </c>
      <c r="I10" s="9" t="s">
        <v>17</v>
      </c>
      <c r="J10" s="88">
        <v>1.2</v>
      </c>
      <c r="K10" s="91">
        <f t="shared" si="1"/>
        <v>24000</v>
      </c>
      <c r="L10" s="91">
        <f t="shared" si="2"/>
        <v>384000</v>
      </c>
      <c r="M10" s="28"/>
      <c r="N10" s="28"/>
      <c r="O10" s="28"/>
      <c r="P10" s="28"/>
      <c r="Q10" s="28"/>
      <c r="R10" s="28"/>
      <c r="S10" s="28"/>
      <c r="T10" s="28"/>
      <c r="U10" s="28" t="s">
        <v>86</v>
      </c>
    </row>
    <row r="11" spans="1:21" s="1" customFormat="1">
      <c r="A11" s="35"/>
      <c r="B11" s="35"/>
      <c r="C11" s="11" t="s">
        <v>21</v>
      </c>
      <c r="D11" s="29" t="s">
        <v>4</v>
      </c>
      <c r="E11" s="29" t="s">
        <v>7</v>
      </c>
      <c r="F11" s="8">
        <v>75</v>
      </c>
      <c r="G11" s="9">
        <v>20000</v>
      </c>
      <c r="H11" s="9">
        <f t="shared" si="3"/>
        <v>1500000</v>
      </c>
      <c r="I11" s="9" t="s">
        <v>17</v>
      </c>
      <c r="J11" s="88">
        <v>1.2</v>
      </c>
      <c r="K11" s="91">
        <f t="shared" si="1"/>
        <v>24000</v>
      </c>
      <c r="L11" s="91">
        <f t="shared" si="2"/>
        <v>1800000</v>
      </c>
      <c r="M11" s="28"/>
      <c r="N11" s="28"/>
      <c r="O11" s="28"/>
      <c r="P11" s="28"/>
      <c r="Q11" s="28"/>
      <c r="R11" s="28"/>
      <c r="S11" s="28"/>
      <c r="T11" s="28"/>
      <c r="U11" s="28"/>
    </row>
    <row r="12" spans="1:21" s="1" customFormat="1">
      <c r="A12" s="35"/>
      <c r="B12" s="35"/>
      <c r="C12" s="11" t="s">
        <v>25</v>
      </c>
      <c r="D12" s="29" t="s">
        <v>4</v>
      </c>
      <c r="E12" s="29" t="s">
        <v>7</v>
      </c>
      <c r="F12" s="8">
        <v>50</v>
      </c>
      <c r="G12" s="9">
        <v>20000</v>
      </c>
      <c r="H12" s="9">
        <f t="shared" si="3"/>
        <v>1000000</v>
      </c>
      <c r="I12" s="9" t="s">
        <v>17</v>
      </c>
      <c r="J12" s="88">
        <v>1.2</v>
      </c>
      <c r="K12" s="91">
        <f t="shared" si="1"/>
        <v>24000</v>
      </c>
      <c r="L12" s="91">
        <f t="shared" si="2"/>
        <v>1200000</v>
      </c>
      <c r="M12" s="28"/>
      <c r="N12" s="28"/>
      <c r="O12" s="28"/>
      <c r="P12" s="28"/>
      <c r="Q12" s="28"/>
      <c r="R12" s="28"/>
      <c r="S12" s="28"/>
      <c r="T12" s="28"/>
      <c r="U12" s="28"/>
    </row>
    <row r="13" spans="1:21" s="1" customFormat="1">
      <c r="A13" s="35"/>
      <c r="B13" s="35"/>
      <c r="C13" s="11" t="s">
        <v>26</v>
      </c>
      <c r="D13" s="29" t="s">
        <v>4</v>
      </c>
      <c r="E13" s="29" t="s">
        <v>7</v>
      </c>
      <c r="F13" s="8">
        <f>F8</f>
        <v>50</v>
      </c>
      <c r="G13" s="9">
        <v>2000</v>
      </c>
      <c r="H13" s="9">
        <f t="shared" si="3"/>
        <v>100000</v>
      </c>
      <c r="I13" s="9" t="s">
        <v>17</v>
      </c>
      <c r="J13" s="87">
        <v>1.2</v>
      </c>
      <c r="K13" s="91">
        <f t="shared" si="1"/>
        <v>2400</v>
      </c>
      <c r="L13" s="91">
        <f t="shared" si="2"/>
        <v>120000</v>
      </c>
    </row>
    <row r="14" spans="1:21" s="1" customFormat="1" ht="33.6" customHeight="1">
      <c r="A14" s="35">
        <v>5</v>
      </c>
      <c r="B14" s="35" t="s">
        <v>3</v>
      </c>
      <c r="C14" s="10" t="s">
        <v>22</v>
      </c>
      <c r="D14" s="29" t="s">
        <v>30</v>
      </c>
      <c r="E14" s="29" t="s">
        <v>14</v>
      </c>
      <c r="F14" s="8">
        <v>100</v>
      </c>
      <c r="G14" s="9">
        <v>20000</v>
      </c>
      <c r="H14" s="9">
        <f t="shared" si="3"/>
        <v>2000000</v>
      </c>
      <c r="I14" s="9" t="s">
        <v>17</v>
      </c>
      <c r="J14" s="87">
        <v>1.2</v>
      </c>
      <c r="K14" s="91">
        <f t="shared" si="1"/>
        <v>24000</v>
      </c>
      <c r="L14" s="91">
        <f t="shared" si="2"/>
        <v>2400000</v>
      </c>
    </row>
    <row r="15" spans="1:21" s="1" customFormat="1" ht="32.450000000000003" customHeight="1">
      <c r="A15" s="35"/>
      <c r="B15" s="35"/>
      <c r="C15" s="10" t="s">
        <v>23</v>
      </c>
      <c r="D15" s="29" t="s">
        <v>30</v>
      </c>
      <c r="E15" s="29" t="s">
        <v>14</v>
      </c>
      <c r="F15" s="8">
        <v>100</v>
      </c>
      <c r="G15" s="9">
        <v>20000</v>
      </c>
      <c r="H15" s="9">
        <f t="shared" si="3"/>
        <v>2000000</v>
      </c>
      <c r="I15" s="9" t="s">
        <v>17</v>
      </c>
      <c r="J15" s="87">
        <v>1.2</v>
      </c>
      <c r="K15" s="91">
        <f t="shared" si="1"/>
        <v>24000</v>
      </c>
      <c r="L15" s="91">
        <f t="shared" si="2"/>
        <v>2400000</v>
      </c>
    </row>
    <row r="16" spans="1:21" s="1" customFormat="1" ht="57">
      <c r="A16" s="35"/>
      <c r="B16" s="35"/>
      <c r="C16" s="10" t="s">
        <v>50</v>
      </c>
      <c r="D16" s="29" t="s">
        <v>51</v>
      </c>
      <c r="E16" s="29" t="s">
        <v>14</v>
      </c>
      <c r="F16" s="8">
        <v>20</v>
      </c>
      <c r="G16" s="9">
        <v>150000</v>
      </c>
      <c r="H16" s="9">
        <f t="shared" si="3"/>
        <v>3000000</v>
      </c>
      <c r="I16" s="9" t="s">
        <v>17</v>
      </c>
      <c r="J16" s="87">
        <v>1.2</v>
      </c>
      <c r="K16" s="91">
        <f t="shared" si="1"/>
        <v>180000</v>
      </c>
      <c r="L16" s="91">
        <f t="shared" si="2"/>
        <v>3600000</v>
      </c>
    </row>
    <row r="17" spans="1:12" s="1" customFormat="1" ht="36" customHeight="1">
      <c r="A17" s="35"/>
      <c r="B17" s="35"/>
      <c r="C17" s="10" t="s">
        <v>47</v>
      </c>
      <c r="D17" s="29" t="s">
        <v>4</v>
      </c>
      <c r="E17" s="29" t="s">
        <v>8</v>
      </c>
      <c r="F17" s="8">
        <v>1</v>
      </c>
      <c r="G17" s="9">
        <v>300000</v>
      </c>
      <c r="H17" s="9">
        <f t="shared" si="3"/>
        <v>300000</v>
      </c>
      <c r="I17" s="9" t="s">
        <v>17</v>
      </c>
      <c r="J17" s="87">
        <v>1.2</v>
      </c>
      <c r="K17" s="91">
        <f t="shared" si="1"/>
        <v>360000</v>
      </c>
      <c r="L17" s="91">
        <f t="shared" si="2"/>
        <v>360000</v>
      </c>
    </row>
    <row r="18" spans="1:12" s="1" customFormat="1" ht="26.1" customHeight="1">
      <c r="A18" s="35"/>
      <c r="B18" s="35"/>
      <c r="C18" s="10" t="s">
        <v>13</v>
      </c>
      <c r="D18" s="29" t="s">
        <v>30</v>
      </c>
      <c r="E18" s="29" t="s">
        <v>8</v>
      </c>
      <c r="F18" s="8">
        <v>10</v>
      </c>
      <c r="G18" s="9">
        <v>30000</v>
      </c>
      <c r="H18" s="9">
        <f t="shared" si="3"/>
        <v>300000</v>
      </c>
      <c r="I18" s="9" t="s">
        <v>17</v>
      </c>
      <c r="J18" s="87">
        <v>1.2</v>
      </c>
      <c r="K18" s="91">
        <f t="shared" si="1"/>
        <v>36000</v>
      </c>
      <c r="L18" s="91">
        <f t="shared" si="2"/>
        <v>360000</v>
      </c>
    </row>
    <row r="19" spans="1:12" s="1" customFormat="1" ht="138" customHeight="1">
      <c r="A19" s="29">
        <v>6</v>
      </c>
      <c r="B19" s="29" t="s">
        <v>15</v>
      </c>
      <c r="C19" s="27" t="s">
        <v>101</v>
      </c>
      <c r="D19" s="30" t="s">
        <v>95</v>
      </c>
      <c r="E19" s="30" t="s">
        <v>8</v>
      </c>
      <c r="F19" s="24">
        <v>1</v>
      </c>
      <c r="G19" s="25">
        <v>6000000</v>
      </c>
      <c r="H19" s="9">
        <f t="shared" si="3"/>
        <v>6000000</v>
      </c>
      <c r="I19" s="9" t="s">
        <v>34</v>
      </c>
      <c r="J19" s="87">
        <v>1.2</v>
      </c>
      <c r="K19" s="91">
        <f t="shared" si="1"/>
        <v>7200000</v>
      </c>
      <c r="L19" s="91">
        <f t="shared" si="2"/>
        <v>7200000</v>
      </c>
    </row>
    <row r="20" spans="1:12" s="1" customFormat="1">
      <c r="A20" s="35">
        <v>7</v>
      </c>
      <c r="B20" s="37" t="s">
        <v>5</v>
      </c>
      <c r="C20" s="10" t="s">
        <v>35</v>
      </c>
      <c r="D20" s="29" t="s">
        <v>36</v>
      </c>
      <c r="E20" s="29" t="s">
        <v>14</v>
      </c>
      <c r="F20" s="8">
        <v>60</v>
      </c>
      <c r="G20" s="9">
        <v>15000</v>
      </c>
      <c r="H20" s="9">
        <f t="shared" si="3"/>
        <v>900000</v>
      </c>
      <c r="I20" s="9" t="s">
        <v>34</v>
      </c>
      <c r="J20" s="87">
        <v>1.2</v>
      </c>
      <c r="K20" s="91">
        <f t="shared" si="1"/>
        <v>18000</v>
      </c>
      <c r="L20" s="91">
        <f t="shared" si="2"/>
        <v>1080000</v>
      </c>
    </row>
    <row r="21" spans="1:12" s="1" customFormat="1">
      <c r="A21" s="35"/>
      <c r="B21" s="37"/>
      <c r="C21" s="10" t="s">
        <v>37</v>
      </c>
      <c r="D21" s="29" t="s">
        <v>4</v>
      </c>
      <c r="E21" s="29" t="s">
        <v>7</v>
      </c>
      <c r="F21" s="8">
        <v>2</v>
      </c>
      <c r="G21" s="9">
        <v>250000</v>
      </c>
      <c r="H21" s="9">
        <f t="shared" si="3"/>
        <v>500000</v>
      </c>
      <c r="I21" s="9" t="s">
        <v>34</v>
      </c>
      <c r="J21" s="87">
        <v>1.2</v>
      </c>
      <c r="K21" s="91">
        <f t="shared" si="1"/>
        <v>300000</v>
      </c>
      <c r="L21" s="91">
        <f t="shared" si="2"/>
        <v>600000</v>
      </c>
    </row>
    <row r="22" spans="1:12" s="1" customFormat="1">
      <c r="A22" s="35"/>
      <c r="B22" s="37"/>
      <c r="C22" s="12" t="s">
        <v>19</v>
      </c>
      <c r="D22" s="29" t="s">
        <v>4</v>
      </c>
      <c r="E22" s="29" t="s">
        <v>14</v>
      </c>
      <c r="F22" s="8">
        <v>60</v>
      </c>
      <c r="G22" s="9">
        <v>15000</v>
      </c>
      <c r="H22" s="9">
        <f t="shared" si="3"/>
        <v>900000</v>
      </c>
      <c r="I22" s="9" t="s">
        <v>34</v>
      </c>
      <c r="J22" s="87">
        <v>1.2</v>
      </c>
      <c r="K22" s="91">
        <f t="shared" si="1"/>
        <v>18000</v>
      </c>
      <c r="L22" s="91">
        <f t="shared" si="2"/>
        <v>1080000</v>
      </c>
    </row>
    <row r="23" spans="1:12" s="1" customFormat="1" ht="28.5">
      <c r="A23" s="35">
        <v>8</v>
      </c>
      <c r="B23" s="35" t="s">
        <v>6</v>
      </c>
      <c r="C23" s="12" t="s">
        <v>24</v>
      </c>
      <c r="D23" s="29" t="s">
        <v>1</v>
      </c>
      <c r="E23" s="29" t="s">
        <v>8</v>
      </c>
      <c r="F23" s="8">
        <v>1</v>
      </c>
      <c r="G23" s="9">
        <v>2000000</v>
      </c>
      <c r="H23" s="9">
        <f t="shared" si="3"/>
        <v>2000000</v>
      </c>
      <c r="I23" s="9"/>
      <c r="J23" s="87">
        <v>1.2</v>
      </c>
      <c r="K23" s="91">
        <f t="shared" si="1"/>
        <v>2400000</v>
      </c>
      <c r="L23" s="91">
        <f t="shared" si="2"/>
        <v>2400000</v>
      </c>
    </row>
    <row r="24" spans="1:12" s="1" customFormat="1">
      <c r="A24" s="35"/>
      <c r="B24" s="36"/>
      <c r="C24" s="11" t="s">
        <v>38</v>
      </c>
      <c r="D24" s="29" t="s">
        <v>1</v>
      </c>
      <c r="E24" s="29" t="s">
        <v>8</v>
      </c>
      <c r="F24" s="8">
        <v>18.2</v>
      </c>
      <c r="G24" s="9">
        <v>1000000</v>
      </c>
      <c r="H24" s="9">
        <f t="shared" si="3"/>
        <v>18200000</v>
      </c>
      <c r="I24" s="9"/>
      <c r="J24" s="87">
        <v>1.2</v>
      </c>
      <c r="K24" s="91">
        <f t="shared" si="1"/>
        <v>1200000</v>
      </c>
      <c r="L24" s="91">
        <f t="shared" si="2"/>
        <v>21840000</v>
      </c>
    </row>
    <row r="25" spans="1:12" s="1" customFormat="1" ht="25.7" customHeight="1">
      <c r="A25" s="36" t="s">
        <v>39</v>
      </c>
      <c r="B25" s="36"/>
      <c r="C25" s="36"/>
      <c r="D25" s="36"/>
      <c r="E25" s="36"/>
      <c r="F25" s="13"/>
      <c r="G25" s="13"/>
      <c r="H25" s="14">
        <f>SUM(H2:H24)</f>
        <v>197496370.37037036</v>
      </c>
      <c r="I25" s="10"/>
      <c r="J25" s="89"/>
      <c r="K25" s="92">
        <f t="shared" si="1"/>
        <v>0</v>
      </c>
      <c r="L25" s="93">
        <f>SUM(L2:L24)</f>
        <v>236103755.55555552</v>
      </c>
    </row>
    <row r="26" spans="1:12" ht="27.6" customHeight="1"/>
  </sheetData>
  <mergeCells count="11">
    <mergeCell ref="A4:A6"/>
    <mergeCell ref="B4:B6"/>
    <mergeCell ref="A7:A13"/>
    <mergeCell ref="B7:B13"/>
    <mergeCell ref="A14:A18"/>
    <mergeCell ref="B14:B18"/>
    <mergeCell ref="A20:A22"/>
    <mergeCell ref="B20:B22"/>
    <mergeCell ref="A23:A24"/>
    <mergeCell ref="B23:B24"/>
    <mergeCell ref="A25:E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HY1P_5.2kW</vt:lpstr>
      <vt:lpstr>HY1P_6.5 kw</vt:lpstr>
      <vt:lpstr>HY1P_7.8kW</vt:lpstr>
      <vt:lpstr>HY1P_9.1kW</vt:lpstr>
      <vt:lpstr>HY1P_10.4kW</vt:lpstr>
      <vt:lpstr>HY1P_11.7kW</vt:lpstr>
      <vt:lpstr>HY1P_13kW</vt:lpstr>
      <vt:lpstr>HY1P_14.3kW</vt:lpstr>
      <vt:lpstr>HY1P_15.6kW</vt:lpstr>
      <vt:lpstr>HY3P_16.9kw</vt:lpstr>
      <vt:lpstr>HY3P_18.2KW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</dc:creator>
  <cp:lastModifiedBy>admin</cp:lastModifiedBy>
  <cp:lastPrinted>2026-06-13T04:16:29Z</cp:lastPrinted>
  <dcterms:created xsi:type="dcterms:W3CDTF">2020-07-10T06:56:17Z</dcterms:created>
  <dcterms:modified xsi:type="dcterms:W3CDTF">2026-07-17T07:11:47Z</dcterms:modified>
</cp:coreProperties>
</file>