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III. CHÍNH SÁCH GIÁ_TRINAPOWER\"/>
    </mc:Choice>
  </mc:AlternateContent>
  <xr:revisionPtr revIDLastSave="0" documentId="13_ncr:1_{4ADCC3FA-1EDF-4B42-89ED-DDDAECBFAD4B}" xr6:coauthVersionLast="47" xr6:coauthVersionMax="47" xr10:uidLastSave="{00000000-0000-0000-0000-000000000000}"/>
  <bookViews>
    <workbookView xWindow="-110" yWindow="-110" windowWidth="19420" windowHeight="10300" tabRatio="913" xr2:uid="{00000000-000D-0000-FFFF-FFFF00000000}"/>
  </bookViews>
  <sheets>
    <sheet name="Total" sheetId="38" r:id="rId1"/>
    <sheet name="OG1P_5.58kW" sheetId="22" r:id="rId2"/>
    <sheet name="OG1P_8.68kW" sheetId="24" r:id="rId3"/>
    <sheet name="OG1P_11.16kW" sheetId="27" r:id="rId4"/>
    <sheet name="OG3P_8.68kW" sheetId="29" r:id="rId5"/>
    <sheet name="OG3P_11.16kW" sheetId="33" r:id="rId6"/>
    <sheet name="OG3P_14.88kW" sheetId="36" r:id="rId7"/>
    <sheet name="OG3P_16.74kW" sheetId="41" r:id="rId8"/>
    <sheet name="HY1P_5.58kWBAT5.12LV" sheetId="6" r:id="rId9"/>
    <sheet name="HY1P_8.68kWBAT5.12LV" sheetId="26" r:id="rId10"/>
    <sheet name="HY1P_11.16kWBAT5.12LV" sheetId="28" r:id="rId11"/>
    <sheet name="HY1P_14.88kWBAT14.3LV" sheetId="30" r:id="rId12"/>
    <sheet name="HY3P_11.16kWBAT5.12LV" sheetId="32" r:id="rId13"/>
    <sheet name="HY3P_16.74kWBAT14.3LV" sheetId="35" r:id="rId14"/>
    <sheet name="HY3P_11.16kWBAT10HV" sheetId="37" r:id="rId15"/>
    <sheet name="HY3P_16.74kWBAT15HV" sheetId="40" r:id="rId16"/>
  </sheets>
  <definedNames>
    <definedName name="_xlnm.Print_Area" localSheetId="8">HY1P_5.58kWBAT5.12LV!$A:$G</definedName>
    <definedName name="_xlnm.Print_Area" localSheetId="0">Total!$A:$I</definedName>
  </definedNames>
  <calcPr calcId="191029"/>
</workbook>
</file>

<file path=xl/calcChain.xml><?xml version="1.0" encoding="utf-8"?>
<calcChain xmlns="http://schemas.openxmlformats.org/spreadsheetml/2006/main">
  <c r="I43" i="38" l="1"/>
  <c r="I37" i="38"/>
  <c r="I38" i="38"/>
  <c r="I39" i="38"/>
  <c r="I40" i="38"/>
  <c r="I41" i="38"/>
  <c r="I42" i="38"/>
  <c r="I36" i="38"/>
  <c r="I44" i="38"/>
  <c r="I45" i="38" s="1"/>
  <c r="H32" i="38"/>
  <c r="C32" i="38"/>
  <c r="D32" i="38"/>
  <c r="E32" i="38"/>
  <c r="F32" i="38"/>
  <c r="G32" i="38"/>
  <c r="B32" i="38"/>
  <c r="H31" i="38"/>
  <c r="G31" i="38"/>
  <c r="F31" i="38"/>
  <c r="E31" i="38"/>
  <c r="D31" i="38"/>
  <c r="C31" i="38"/>
  <c r="B31" i="38"/>
  <c r="G30" i="38"/>
  <c r="H25" i="38"/>
  <c r="H26" i="38"/>
  <c r="H27" i="38"/>
  <c r="H28" i="38"/>
  <c r="H29" i="38"/>
  <c r="H30" i="38"/>
  <c r="H24" i="38"/>
  <c r="G24" i="38"/>
  <c r="I79" i="38"/>
  <c r="I80" i="38" s="1"/>
  <c r="H79" i="38"/>
  <c r="H80" i="38" s="1"/>
  <c r="G79" i="38"/>
  <c r="F79" i="38"/>
  <c r="F80" i="38" s="1"/>
  <c r="E79" i="38"/>
  <c r="E80" i="38" s="1"/>
  <c r="D79" i="38"/>
  <c r="D80" i="38" s="1"/>
  <c r="C79" i="38"/>
  <c r="C80" i="38" s="1"/>
  <c r="B79" i="38"/>
  <c r="B80" i="38" s="1"/>
  <c r="G80" i="38"/>
  <c r="I76" i="38"/>
  <c r="I75" i="38"/>
  <c r="I73" i="38"/>
  <c r="I72" i="38"/>
  <c r="I71" i="38"/>
  <c r="I70" i="38"/>
  <c r="I69" i="38"/>
  <c r="I68" i="38"/>
  <c r="I67" i="38"/>
  <c r="I66" i="38"/>
  <c r="H76" i="38"/>
  <c r="H75" i="38"/>
  <c r="H74" i="38"/>
  <c r="H73" i="38"/>
  <c r="H72" i="38"/>
  <c r="H71" i="38"/>
  <c r="H70" i="38"/>
  <c r="H69" i="38"/>
  <c r="H68" i="38"/>
  <c r="H67" i="38"/>
  <c r="H66" i="38"/>
  <c r="G76" i="38"/>
  <c r="G75" i="38"/>
  <c r="G73" i="38"/>
  <c r="G72" i="38"/>
  <c r="G71" i="38"/>
  <c r="G70" i="38"/>
  <c r="G69" i="38"/>
  <c r="G68" i="38"/>
  <c r="G67" i="38"/>
  <c r="G66" i="38"/>
  <c r="E76" i="38"/>
  <c r="E75" i="38"/>
  <c r="F76" i="38"/>
  <c r="F75" i="38"/>
  <c r="F73" i="38"/>
  <c r="F72" i="38"/>
  <c r="F71" i="38"/>
  <c r="F70" i="38"/>
  <c r="F69" i="38"/>
  <c r="F68" i="38"/>
  <c r="F67" i="38"/>
  <c r="F66" i="38"/>
  <c r="E73" i="38"/>
  <c r="E72" i="38"/>
  <c r="E71" i="38"/>
  <c r="E70" i="38"/>
  <c r="E69" i="38"/>
  <c r="E68" i="38"/>
  <c r="E67" i="38"/>
  <c r="E66" i="38"/>
  <c r="D76" i="38"/>
  <c r="D75" i="38"/>
  <c r="D73" i="38"/>
  <c r="D72" i="38"/>
  <c r="D71" i="38"/>
  <c r="D70" i="38"/>
  <c r="D69" i="38"/>
  <c r="D68" i="38"/>
  <c r="D67" i="38"/>
  <c r="D66" i="38"/>
  <c r="C76" i="38"/>
  <c r="C75" i="38"/>
  <c r="C73" i="38"/>
  <c r="C72" i="38"/>
  <c r="C71" i="38"/>
  <c r="C70" i="38"/>
  <c r="C69" i="38"/>
  <c r="C68" i="38"/>
  <c r="C67" i="38"/>
  <c r="C66" i="38"/>
  <c r="B76" i="38"/>
  <c r="B75" i="38"/>
  <c r="B73" i="38"/>
  <c r="B72" i="38"/>
  <c r="B71" i="38"/>
  <c r="B70" i="38"/>
  <c r="B69" i="38"/>
  <c r="B68" i="38"/>
  <c r="B67" i="38"/>
  <c r="B66" i="38"/>
  <c r="H62" i="38"/>
  <c r="G62" i="38"/>
  <c r="F62" i="38"/>
  <c r="E62" i="38"/>
  <c r="H61" i="38"/>
  <c r="G61" i="38"/>
  <c r="F61" i="38"/>
  <c r="E61" i="38"/>
  <c r="H59" i="38"/>
  <c r="H58" i="38"/>
  <c r="H57" i="38"/>
  <c r="H56" i="38"/>
  <c r="H55" i="38"/>
  <c r="H53" i="38"/>
  <c r="G59" i="38"/>
  <c r="G57" i="38"/>
  <c r="G56" i="38"/>
  <c r="G55" i="38"/>
  <c r="G54" i="38"/>
  <c r="G53" i="38"/>
  <c r="F59" i="38"/>
  <c r="F57" i="38"/>
  <c r="F56" i="38"/>
  <c r="F55" i="38"/>
  <c r="F54" i="38"/>
  <c r="F53" i="38"/>
  <c r="E59" i="38"/>
  <c r="E57" i="38"/>
  <c r="E56" i="38"/>
  <c r="E55" i="38"/>
  <c r="E54" i="38"/>
  <c r="E53" i="38"/>
  <c r="C62" i="38"/>
  <c r="C61" i="38"/>
  <c r="D59" i="38"/>
  <c r="D57" i="38"/>
  <c r="D56" i="38"/>
  <c r="D55" i="38"/>
  <c r="D54" i="38"/>
  <c r="D53" i="38"/>
  <c r="C59" i="38"/>
  <c r="C58" i="38"/>
  <c r="C57" i="38"/>
  <c r="C56" i="38"/>
  <c r="C55" i="38"/>
  <c r="C54" i="38"/>
  <c r="C53" i="38"/>
  <c r="B62" i="38"/>
  <c r="B61" i="38"/>
  <c r="B59" i="38"/>
  <c r="B58" i="38"/>
  <c r="B57" i="38"/>
  <c r="B56" i="38"/>
  <c r="B55" i="38"/>
  <c r="B54" i="38"/>
  <c r="B53" i="38"/>
  <c r="H54" i="38"/>
  <c r="J7" i="41"/>
  <c r="K22" i="41"/>
  <c r="N22" i="41" s="1"/>
  <c r="J2" i="41"/>
  <c r="F11" i="41"/>
  <c r="O11" i="41" s="1"/>
  <c r="F9" i="41"/>
  <c r="L9" i="41" s="1"/>
  <c r="H22" i="41"/>
  <c r="N21" i="41"/>
  <c r="P21" i="41" s="1"/>
  <c r="L21" i="41"/>
  <c r="H21" i="41"/>
  <c r="N20" i="41"/>
  <c r="P20" i="41" s="1"/>
  <c r="L20" i="41"/>
  <c r="H20" i="41"/>
  <c r="N19" i="41"/>
  <c r="P19" i="41" s="1"/>
  <c r="L19" i="41"/>
  <c r="H19" i="41"/>
  <c r="N18" i="41"/>
  <c r="P18" i="41" s="1"/>
  <c r="L18" i="41"/>
  <c r="H18" i="41"/>
  <c r="K17" i="41"/>
  <c r="N17" i="41" s="1"/>
  <c r="H17" i="41"/>
  <c r="N16" i="41"/>
  <c r="P16" i="41" s="1"/>
  <c r="L16" i="41"/>
  <c r="H16" i="41"/>
  <c r="N15" i="41"/>
  <c r="P15" i="41" s="1"/>
  <c r="L15" i="41"/>
  <c r="H15" i="41"/>
  <c r="K14" i="41"/>
  <c r="N14" i="41" s="1"/>
  <c r="H14" i="41"/>
  <c r="N13" i="41"/>
  <c r="P13" i="41" s="1"/>
  <c r="L13" i="41"/>
  <c r="H13" i="41"/>
  <c r="N12" i="41"/>
  <c r="O12" i="41" s="1"/>
  <c r="L12" i="41"/>
  <c r="H12" i="41"/>
  <c r="P11" i="41"/>
  <c r="N11" i="41"/>
  <c r="N10" i="41"/>
  <c r="P10" i="41" s="1"/>
  <c r="L10" i="41"/>
  <c r="H10" i="41"/>
  <c r="N9" i="41"/>
  <c r="P9" i="41" s="1"/>
  <c r="P8" i="41"/>
  <c r="N8" i="41"/>
  <c r="O8" i="41" s="1"/>
  <c r="L8" i="41"/>
  <c r="H8" i="41"/>
  <c r="P7" i="41"/>
  <c r="O7" i="41"/>
  <c r="N7" i="41"/>
  <c r="L7" i="41"/>
  <c r="H7" i="41"/>
  <c r="N6" i="41"/>
  <c r="P6" i="41" s="1"/>
  <c r="L6" i="41"/>
  <c r="H6" i="41"/>
  <c r="P5" i="41"/>
  <c r="N5" i="41"/>
  <c r="O5" i="41" s="1"/>
  <c r="L5" i="41"/>
  <c r="H5" i="41"/>
  <c r="K4" i="41"/>
  <c r="L4" i="41" s="1"/>
  <c r="H4" i="41"/>
  <c r="N3" i="41"/>
  <c r="O3" i="41" s="1"/>
  <c r="L3" i="41"/>
  <c r="H3" i="41"/>
  <c r="K2" i="41"/>
  <c r="N2" i="41" s="1"/>
  <c r="H2" i="41"/>
  <c r="K17" i="36"/>
  <c r="N17" i="36"/>
  <c r="H17" i="36"/>
  <c r="K22" i="36"/>
  <c r="F11" i="36"/>
  <c r="L11" i="36" s="1"/>
  <c r="H3" i="36"/>
  <c r="J7" i="36"/>
  <c r="J2" i="36"/>
  <c r="N22" i="36"/>
  <c r="H22" i="36"/>
  <c r="N21" i="36"/>
  <c r="P21" i="36" s="1"/>
  <c r="L21" i="36"/>
  <c r="H21" i="36"/>
  <c r="P20" i="36"/>
  <c r="N20" i="36"/>
  <c r="O20" i="36" s="1"/>
  <c r="L20" i="36"/>
  <c r="H20" i="36"/>
  <c r="N19" i="36"/>
  <c r="O19" i="36" s="1"/>
  <c r="L19" i="36"/>
  <c r="H19" i="36"/>
  <c r="N18" i="36"/>
  <c r="O18" i="36" s="1"/>
  <c r="L18" i="36"/>
  <c r="G58" i="38" s="1"/>
  <c r="H18" i="36"/>
  <c r="H23" i="36" s="1"/>
  <c r="N16" i="36"/>
  <c r="P16" i="36" s="1"/>
  <c r="L16" i="36"/>
  <c r="H16" i="36"/>
  <c r="N15" i="36"/>
  <c r="P15" i="36" s="1"/>
  <c r="L15" i="36"/>
  <c r="H15" i="36"/>
  <c r="K14" i="36"/>
  <c r="N14" i="36" s="1"/>
  <c r="H14" i="36"/>
  <c r="N13" i="36"/>
  <c r="P13" i="36" s="1"/>
  <c r="L13" i="36"/>
  <c r="H13" i="36"/>
  <c r="N12" i="36"/>
  <c r="P12" i="36" s="1"/>
  <c r="L12" i="36"/>
  <c r="H12" i="36"/>
  <c r="P11" i="36"/>
  <c r="N11" i="36"/>
  <c r="N10" i="36"/>
  <c r="O10" i="36" s="1"/>
  <c r="L10" i="36"/>
  <c r="H10" i="36"/>
  <c r="N9" i="36"/>
  <c r="P9" i="36" s="1"/>
  <c r="L9" i="36"/>
  <c r="H9" i="36"/>
  <c r="P8" i="36"/>
  <c r="O8" i="36"/>
  <c r="N8" i="36"/>
  <c r="L8" i="36"/>
  <c r="H8" i="36"/>
  <c r="N7" i="36"/>
  <c r="P7" i="36" s="1"/>
  <c r="L7" i="36"/>
  <c r="H7" i="36"/>
  <c r="N6" i="36"/>
  <c r="P6" i="36" s="1"/>
  <c r="L6" i="36"/>
  <c r="H6" i="36"/>
  <c r="P5" i="36"/>
  <c r="O5" i="36"/>
  <c r="N5" i="36"/>
  <c r="L5" i="36"/>
  <c r="H5" i="36"/>
  <c r="K4" i="36"/>
  <c r="L4" i="36" s="1"/>
  <c r="H4" i="36"/>
  <c r="N3" i="36"/>
  <c r="P3" i="36" s="1"/>
  <c r="L3" i="36"/>
  <c r="K2" i="36"/>
  <c r="N2" i="36" s="1"/>
  <c r="H2" i="36"/>
  <c r="H60" i="38" l="1"/>
  <c r="H23" i="41"/>
  <c r="H9" i="41"/>
  <c r="O2" i="41"/>
  <c r="P2" i="41"/>
  <c r="P22" i="41"/>
  <c r="O22" i="41"/>
  <c r="O17" i="41"/>
  <c r="P17" i="41"/>
  <c r="O14" i="41"/>
  <c r="P14" i="41"/>
  <c r="O21" i="41"/>
  <c r="O6" i="41"/>
  <c r="O15" i="41"/>
  <c r="P12" i="41"/>
  <c r="N4" i="41"/>
  <c r="O10" i="41"/>
  <c r="O13" i="41"/>
  <c r="O16" i="41"/>
  <c r="O19" i="41"/>
  <c r="O9" i="41"/>
  <c r="P3" i="41"/>
  <c r="H11" i="41"/>
  <c r="L22" i="41"/>
  <c r="L2" i="41"/>
  <c r="L11" i="41"/>
  <c r="L14" i="41"/>
  <c r="L17" i="41"/>
  <c r="O18" i="41"/>
  <c r="O20" i="41"/>
  <c r="O11" i="36"/>
  <c r="P22" i="36"/>
  <c r="O22" i="36"/>
  <c r="O17" i="36"/>
  <c r="P17" i="36"/>
  <c r="P14" i="36"/>
  <c r="O14" i="36"/>
  <c r="P2" i="36"/>
  <c r="O2" i="36"/>
  <c r="O21" i="36"/>
  <c r="O6" i="36"/>
  <c r="O12" i="36"/>
  <c r="O15" i="36"/>
  <c r="P18" i="36"/>
  <c r="N4" i="36"/>
  <c r="O13" i="36"/>
  <c r="O7" i="36"/>
  <c r="P19" i="36"/>
  <c r="O3" i="36"/>
  <c r="O9" i="36"/>
  <c r="O16" i="36"/>
  <c r="P10" i="36"/>
  <c r="L22" i="36"/>
  <c r="H11" i="36"/>
  <c r="L2" i="36"/>
  <c r="L14" i="36"/>
  <c r="L17" i="36"/>
  <c r="O4" i="41" l="1"/>
  <c r="P4" i="41"/>
  <c r="L23" i="41"/>
  <c r="L24" i="41" s="1"/>
  <c r="O23" i="41"/>
  <c r="O24" i="41" s="1"/>
  <c r="O4" i="36"/>
  <c r="P4" i="36"/>
  <c r="O23" i="36"/>
  <c r="O24" i="36" s="1"/>
  <c r="L23" i="36"/>
  <c r="L24" i="36" s="1"/>
  <c r="H3" i="33" l="1"/>
  <c r="K14" i="33"/>
  <c r="N14" i="33" s="1"/>
  <c r="H14" i="33"/>
  <c r="K4" i="33"/>
  <c r="N4" i="33" s="1"/>
  <c r="P4" i="33" s="1"/>
  <c r="H4" i="33"/>
  <c r="K17" i="33"/>
  <c r="L17" i="33" s="1"/>
  <c r="H17" i="33"/>
  <c r="K22" i="33"/>
  <c r="L22" i="33" s="1"/>
  <c r="H22" i="33"/>
  <c r="N21" i="33"/>
  <c r="O21" i="33" s="1"/>
  <c r="L21" i="33"/>
  <c r="H21" i="33"/>
  <c r="P20" i="33"/>
  <c r="N20" i="33"/>
  <c r="O20" i="33" s="1"/>
  <c r="L20" i="33"/>
  <c r="H20" i="33"/>
  <c r="N19" i="33"/>
  <c r="P19" i="33" s="1"/>
  <c r="L19" i="33"/>
  <c r="L23" i="33" s="1"/>
  <c r="H19" i="33"/>
  <c r="N18" i="33"/>
  <c r="P18" i="33" s="1"/>
  <c r="L18" i="33"/>
  <c r="H18" i="33"/>
  <c r="N16" i="33"/>
  <c r="P16" i="33" s="1"/>
  <c r="L16" i="33"/>
  <c r="H16" i="33"/>
  <c r="N15" i="33"/>
  <c r="O15" i="33" s="1"/>
  <c r="L15" i="33"/>
  <c r="H15" i="33"/>
  <c r="P13" i="33"/>
  <c r="O13" i="33"/>
  <c r="N13" i="33"/>
  <c r="L13" i="33"/>
  <c r="H13" i="33"/>
  <c r="N12" i="33"/>
  <c r="O12" i="33" s="1"/>
  <c r="L12" i="33"/>
  <c r="H12" i="33"/>
  <c r="N11" i="33"/>
  <c r="P11" i="33" s="1"/>
  <c r="H11" i="33"/>
  <c r="F11" i="33"/>
  <c r="L11" i="33" s="1"/>
  <c r="O10" i="33"/>
  <c r="N10" i="33"/>
  <c r="P10" i="33" s="1"/>
  <c r="L10" i="33"/>
  <c r="H10" i="33"/>
  <c r="N9" i="33"/>
  <c r="P9" i="33" s="1"/>
  <c r="L9" i="33"/>
  <c r="H9" i="33"/>
  <c r="N8" i="33"/>
  <c r="P8" i="33" s="1"/>
  <c r="L8" i="33"/>
  <c r="H8" i="33"/>
  <c r="N7" i="33"/>
  <c r="P7" i="33" s="1"/>
  <c r="L7" i="33"/>
  <c r="J7" i="33"/>
  <c r="H7" i="33"/>
  <c r="N6" i="33"/>
  <c r="P6" i="33" s="1"/>
  <c r="L6" i="33"/>
  <c r="H6" i="33"/>
  <c r="N5" i="33"/>
  <c r="O5" i="33" s="1"/>
  <c r="L5" i="33"/>
  <c r="H5" i="33"/>
  <c r="N3" i="33"/>
  <c r="P3" i="33" s="1"/>
  <c r="L3" i="33"/>
  <c r="N2" i="33"/>
  <c r="O2" i="33" s="1"/>
  <c r="L2" i="33"/>
  <c r="K2" i="33"/>
  <c r="J2" i="33"/>
  <c r="H2" i="33"/>
  <c r="K17" i="29"/>
  <c r="H17" i="29"/>
  <c r="K14" i="29"/>
  <c r="H14" i="29"/>
  <c r="K4" i="29"/>
  <c r="H4" i="29"/>
  <c r="H3" i="29"/>
  <c r="L3" i="29"/>
  <c r="F58" i="38" l="1"/>
  <c r="P14" i="33"/>
  <c r="O14" i="33"/>
  <c r="L14" i="33"/>
  <c r="L4" i="33"/>
  <c r="L24" i="33" s="1"/>
  <c r="N17" i="33"/>
  <c r="P17" i="33" s="1"/>
  <c r="H23" i="33"/>
  <c r="O17" i="33"/>
  <c r="O11" i="33"/>
  <c r="P5" i="33"/>
  <c r="P2" i="33"/>
  <c r="O18" i="33"/>
  <c r="O6" i="33"/>
  <c r="P15" i="33"/>
  <c r="P12" i="33"/>
  <c r="N22" i="33"/>
  <c r="O16" i="33"/>
  <c r="O19" i="33"/>
  <c r="O8" i="33"/>
  <c r="P21" i="33"/>
  <c r="O9" i="33"/>
  <c r="O3" i="33"/>
  <c r="O4" i="33"/>
  <c r="O7" i="33"/>
  <c r="P22" i="33" l="1"/>
  <c r="O22" i="33"/>
  <c r="O23" i="33" s="1"/>
  <c r="O24" i="33" s="1"/>
  <c r="K22" i="29" l="1"/>
  <c r="L22" i="29" s="1"/>
  <c r="H22" i="29"/>
  <c r="N21" i="29"/>
  <c r="P21" i="29" s="1"/>
  <c r="L21" i="29"/>
  <c r="H21" i="29"/>
  <c r="N20" i="29"/>
  <c r="P20" i="29" s="1"/>
  <c r="L20" i="29"/>
  <c r="H20" i="29"/>
  <c r="N19" i="29"/>
  <c r="P19" i="29" s="1"/>
  <c r="L19" i="29"/>
  <c r="H19" i="29"/>
  <c r="N18" i="29"/>
  <c r="O18" i="29" s="1"/>
  <c r="L18" i="29"/>
  <c r="E58" i="38" s="1"/>
  <c r="H18" i="29"/>
  <c r="H23" i="29" s="1"/>
  <c r="N17" i="29"/>
  <c r="N16" i="29"/>
  <c r="P16" i="29" s="1"/>
  <c r="L16" i="29"/>
  <c r="H16" i="29"/>
  <c r="N15" i="29"/>
  <c r="O15" i="29" s="1"/>
  <c r="L15" i="29"/>
  <c r="H15" i="29"/>
  <c r="N14" i="29"/>
  <c r="O14" i="29" s="1"/>
  <c r="L14" i="29"/>
  <c r="L13" i="29"/>
  <c r="H13" i="29"/>
  <c r="N12" i="29"/>
  <c r="H12" i="29"/>
  <c r="N11" i="29"/>
  <c r="P11" i="29" s="1"/>
  <c r="L11" i="29"/>
  <c r="H11" i="29"/>
  <c r="F11" i="29"/>
  <c r="N10" i="29"/>
  <c r="O10" i="29" s="1"/>
  <c r="L10" i="29"/>
  <c r="H10" i="29"/>
  <c r="N9" i="29"/>
  <c r="O9" i="29" s="1"/>
  <c r="L9" i="29"/>
  <c r="H9" i="29"/>
  <c r="N8" i="29"/>
  <c r="P8" i="29" s="1"/>
  <c r="L8" i="29"/>
  <c r="H8" i="29"/>
  <c r="N7" i="29"/>
  <c r="P7" i="29" s="1"/>
  <c r="L7" i="29"/>
  <c r="J7" i="29"/>
  <c r="H7" i="29"/>
  <c r="N6" i="29"/>
  <c r="P6" i="29" s="1"/>
  <c r="L6" i="29"/>
  <c r="H6" i="29"/>
  <c r="N5" i="29"/>
  <c r="P5" i="29" s="1"/>
  <c r="L5" i="29"/>
  <c r="H5" i="29"/>
  <c r="N4" i="29"/>
  <c r="P4" i="29" s="1"/>
  <c r="L4" i="29"/>
  <c r="N3" i="29"/>
  <c r="O3" i="29" s="1"/>
  <c r="K2" i="29"/>
  <c r="N2" i="29" s="1"/>
  <c r="J2" i="29"/>
  <c r="H2" i="29"/>
  <c r="K22" i="27"/>
  <c r="L14" i="27"/>
  <c r="J7" i="27"/>
  <c r="J2" i="27"/>
  <c r="F11" i="27"/>
  <c r="L22" i="27"/>
  <c r="H22" i="27"/>
  <c r="N21" i="27"/>
  <c r="P21" i="27" s="1"/>
  <c r="L21" i="27"/>
  <c r="H21" i="27"/>
  <c r="O20" i="27"/>
  <c r="N20" i="27"/>
  <c r="P20" i="27" s="1"/>
  <c r="L20" i="27"/>
  <c r="H20" i="27"/>
  <c r="P19" i="27"/>
  <c r="N19" i="27"/>
  <c r="O19" i="27" s="1"/>
  <c r="L19" i="27"/>
  <c r="H19" i="27"/>
  <c r="N18" i="27"/>
  <c r="P18" i="27" s="1"/>
  <c r="L18" i="27"/>
  <c r="D58" i="38" s="1"/>
  <c r="H18" i="27"/>
  <c r="P17" i="27"/>
  <c r="N17" i="27"/>
  <c r="O17" i="27" s="1"/>
  <c r="K17" i="27"/>
  <c r="L17" i="27" s="1"/>
  <c r="H17" i="27"/>
  <c r="P16" i="27"/>
  <c r="N16" i="27"/>
  <c r="O16" i="27" s="1"/>
  <c r="L16" i="27"/>
  <c r="H16" i="27"/>
  <c r="N15" i="27"/>
  <c r="O15" i="27" s="1"/>
  <c r="L15" i="27"/>
  <c r="H15" i="27"/>
  <c r="H14" i="27"/>
  <c r="N13" i="27"/>
  <c r="H13" i="27"/>
  <c r="N12" i="27"/>
  <c r="H12" i="27"/>
  <c r="O11" i="27"/>
  <c r="N11" i="27"/>
  <c r="P11" i="27" s="1"/>
  <c r="L11" i="27"/>
  <c r="N10" i="27"/>
  <c r="P10" i="27" s="1"/>
  <c r="L10" i="27"/>
  <c r="H10" i="27"/>
  <c r="N9" i="27"/>
  <c r="O9" i="27" s="1"/>
  <c r="L9" i="27"/>
  <c r="H9" i="27"/>
  <c r="O8" i="27"/>
  <c r="N8" i="27"/>
  <c r="P8" i="27" s="1"/>
  <c r="L8" i="27"/>
  <c r="H8" i="27"/>
  <c r="P7" i="27"/>
  <c r="N7" i="27"/>
  <c r="O7" i="27" s="1"/>
  <c r="L7" i="27"/>
  <c r="H7" i="27"/>
  <c r="N6" i="27"/>
  <c r="P6" i="27" s="1"/>
  <c r="L6" i="27"/>
  <c r="H6" i="27"/>
  <c r="O5" i="27"/>
  <c r="N5" i="27"/>
  <c r="P5" i="27" s="1"/>
  <c r="L5" i="27"/>
  <c r="H5" i="27"/>
  <c r="N4" i="27"/>
  <c r="P4" i="27" s="1"/>
  <c r="L4" i="27"/>
  <c r="H4" i="27"/>
  <c r="N3" i="27"/>
  <c r="P3" i="27" s="1"/>
  <c r="L3" i="27"/>
  <c r="H3" i="27"/>
  <c r="P2" i="27"/>
  <c r="N2" i="27"/>
  <c r="O2" i="27" s="1"/>
  <c r="K2" i="27"/>
  <c r="L2" i="27" s="1"/>
  <c r="H2" i="27"/>
  <c r="K22" i="24"/>
  <c r="H22" i="24"/>
  <c r="H21" i="24"/>
  <c r="H20" i="24"/>
  <c r="H19" i="24"/>
  <c r="H18" i="24"/>
  <c r="K17" i="24"/>
  <c r="N17" i="24" s="1"/>
  <c r="O17" i="24" s="1"/>
  <c r="H17" i="24"/>
  <c r="J7" i="24"/>
  <c r="J2" i="24"/>
  <c r="H3" i="24"/>
  <c r="F11" i="24"/>
  <c r="L22" i="24"/>
  <c r="N21" i="24"/>
  <c r="P21" i="24" s="1"/>
  <c r="L21" i="24"/>
  <c r="P20" i="24"/>
  <c r="N20" i="24"/>
  <c r="O20" i="24" s="1"/>
  <c r="L20" i="24"/>
  <c r="P19" i="24"/>
  <c r="N19" i="24"/>
  <c r="O19" i="24" s="1"/>
  <c r="L19" i="24"/>
  <c r="N18" i="24"/>
  <c r="P18" i="24" s="1"/>
  <c r="L18" i="24"/>
  <c r="P16" i="24"/>
  <c r="N16" i="24"/>
  <c r="O16" i="24" s="1"/>
  <c r="L16" i="24"/>
  <c r="H16" i="24"/>
  <c r="N15" i="24"/>
  <c r="O15" i="24" s="1"/>
  <c r="L15" i="24"/>
  <c r="H15" i="24"/>
  <c r="N14" i="24"/>
  <c r="O14" i="24" s="1"/>
  <c r="L14" i="24"/>
  <c r="H14" i="24"/>
  <c r="N13" i="24"/>
  <c r="H13" i="24"/>
  <c r="L12" i="24"/>
  <c r="H12" i="24"/>
  <c r="P11" i="24"/>
  <c r="O11" i="24"/>
  <c r="N11" i="24"/>
  <c r="L11" i="24"/>
  <c r="H11" i="24"/>
  <c r="P10" i="24"/>
  <c r="N10" i="24"/>
  <c r="O10" i="24" s="1"/>
  <c r="L10" i="24"/>
  <c r="H10" i="24"/>
  <c r="N9" i="24"/>
  <c r="O9" i="24" s="1"/>
  <c r="L9" i="24"/>
  <c r="H9" i="24"/>
  <c r="P8" i="24"/>
  <c r="N8" i="24"/>
  <c r="O8" i="24" s="1"/>
  <c r="L8" i="24"/>
  <c r="H8" i="24"/>
  <c r="P7" i="24"/>
  <c r="O7" i="24"/>
  <c r="N7" i="24"/>
  <c r="L7" i="24"/>
  <c r="H7" i="24"/>
  <c r="N6" i="24"/>
  <c r="O6" i="24" s="1"/>
  <c r="L6" i="24"/>
  <c r="H6" i="24"/>
  <c r="P5" i="24"/>
  <c r="N5" i="24"/>
  <c r="O5" i="24" s="1"/>
  <c r="L5" i="24"/>
  <c r="H5" i="24"/>
  <c r="P4" i="24"/>
  <c r="O4" i="24"/>
  <c r="N4" i="24"/>
  <c r="L4" i="24"/>
  <c r="H4" i="24"/>
  <c r="N3" i="24"/>
  <c r="P3" i="24" s="1"/>
  <c r="L3" i="24"/>
  <c r="P2" i="24"/>
  <c r="O2" i="24"/>
  <c r="N2" i="24"/>
  <c r="L2" i="24"/>
  <c r="K2" i="24"/>
  <c r="H2" i="24"/>
  <c r="P14" i="29" l="1"/>
  <c r="O2" i="29"/>
  <c r="P2" i="29"/>
  <c r="O17" i="29"/>
  <c r="P17" i="29"/>
  <c r="O12" i="29"/>
  <c r="P12" i="29"/>
  <c r="L12" i="29"/>
  <c r="O21" i="29"/>
  <c r="P9" i="29"/>
  <c r="P3" i="29"/>
  <c r="P18" i="29"/>
  <c r="N22" i="29"/>
  <c r="O4" i="29"/>
  <c r="O7" i="29"/>
  <c r="P10" i="29"/>
  <c r="N13" i="29"/>
  <c r="O16" i="29"/>
  <c r="O19" i="29"/>
  <c r="P15" i="29"/>
  <c r="O6" i="29"/>
  <c r="L2" i="29"/>
  <c r="L17" i="29"/>
  <c r="O5" i="29"/>
  <c r="O8" i="29"/>
  <c r="O11" i="29"/>
  <c r="O20" i="29"/>
  <c r="P14" i="24"/>
  <c r="N14" i="27"/>
  <c r="O14" i="27" s="1"/>
  <c r="O13" i="27"/>
  <c r="P13" i="27"/>
  <c r="P12" i="27"/>
  <c r="O12" i="27"/>
  <c r="L12" i="27"/>
  <c r="O18" i="27"/>
  <c r="P15" i="27"/>
  <c r="O10" i="27"/>
  <c r="L13" i="27"/>
  <c r="N22" i="27"/>
  <c r="O4" i="27"/>
  <c r="H11" i="27"/>
  <c r="H23" i="27" s="1"/>
  <c r="D61" i="38" s="1"/>
  <c r="D62" i="38" s="1"/>
  <c r="O21" i="27"/>
  <c r="O3" i="27"/>
  <c r="P9" i="27"/>
  <c r="O6" i="27"/>
  <c r="L17" i="24"/>
  <c r="P17" i="24"/>
  <c r="H23" i="24"/>
  <c r="P13" i="24"/>
  <c r="O13" i="24"/>
  <c r="N22" i="24"/>
  <c r="N12" i="24"/>
  <c r="O18" i="24"/>
  <c r="O3" i="24"/>
  <c r="P9" i="24"/>
  <c r="P15" i="24"/>
  <c r="L13" i="24"/>
  <c r="L23" i="24" s="1"/>
  <c r="L24" i="24" s="1"/>
  <c r="O21" i="24"/>
  <c r="P6" i="24"/>
  <c r="P22" i="29" l="1"/>
  <c r="O22" i="29"/>
  <c r="P13" i="29"/>
  <c r="O13" i="29"/>
  <c r="O23" i="29" s="1"/>
  <c r="O24" i="29" s="1"/>
  <c r="L23" i="29"/>
  <c r="L24" i="29" s="1"/>
  <c r="P14" i="27"/>
  <c r="L23" i="27"/>
  <c r="L24" i="27" s="1"/>
  <c r="P22" i="27"/>
  <c r="O22" i="27"/>
  <c r="O23" i="27" s="1"/>
  <c r="O24" i="27" s="1"/>
  <c r="P22" i="24"/>
  <c r="O22" i="24"/>
  <c r="P12" i="24"/>
  <c r="O12" i="24"/>
  <c r="O23" i="24" l="1"/>
  <c r="O24" i="24" s="1"/>
  <c r="H23" i="22"/>
  <c r="K17" i="22"/>
  <c r="K22" i="22"/>
  <c r="K2" i="22"/>
  <c r="N2" i="22" s="1"/>
  <c r="J2" i="22"/>
  <c r="H2" i="22"/>
  <c r="N22" i="22"/>
  <c r="H22" i="22"/>
  <c r="N21" i="22"/>
  <c r="P21" i="22" s="1"/>
  <c r="L21" i="22"/>
  <c r="H21" i="22"/>
  <c r="N20" i="22"/>
  <c r="P20" i="22" s="1"/>
  <c r="L20" i="22"/>
  <c r="H20" i="22"/>
  <c r="P19" i="22"/>
  <c r="N19" i="22"/>
  <c r="O19" i="22" s="1"/>
  <c r="L19" i="22"/>
  <c r="H19" i="22"/>
  <c r="N18" i="22"/>
  <c r="P18" i="22" s="1"/>
  <c r="L18" i="22"/>
  <c r="H18" i="22"/>
  <c r="N17" i="22"/>
  <c r="H17" i="22"/>
  <c r="P16" i="22"/>
  <c r="N16" i="22"/>
  <c r="O16" i="22" s="1"/>
  <c r="L16" i="22"/>
  <c r="H16" i="22"/>
  <c r="N15" i="22"/>
  <c r="P15" i="22" s="1"/>
  <c r="L15" i="22"/>
  <c r="H15" i="22"/>
  <c r="N14" i="22"/>
  <c r="P14" i="22" s="1"/>
  <c r="L14" i="22"/>
  <c r="H14" i="22"/>
  <c r="N13" i="22"/>
  <c r="H13" i="22"/>
  <c r="N12" i="22"/>
  <c r="H12" i="22"/>
  <c r="N11" i="22"/>
  <c r="P11" i="22" s="1"/>
  <c r="L11" i="22"/>
  <c r="H11" i="22"/>
  <c r="P10" i="22"/>
  <c r="N10" i="22"/>
  <c r="O10" i="22" s="1"/>
  <c r="L10" i="22"/>
  <c r="H10" i="22"/>
  <c r="N9" i="22"/>
  <c r="P9" i="22" s="1"/>
  <c r="L9" i="22"/>
  <c r="H9" i="22"/>
  <c r="N8" i="22"/>
  <c r="P8" i="22" s="1"/>
  <c r="L8" i="22"/>
  <c r="H8" i="22"/>
  <c r="N7" i="22"/>
  <c r="P7" i="22" s="1"/>
  <c r="L7" i="22"/>
  <c r="J7" i="22"/>
  <c r="H7" i="22"/>
  <c r="N6" i="22"/>
  <c r="P6" i="22" s="1"/>
  <c r="L6" i="22"/>
  <c r="H6" i="22"/>
  <c r="N5" i="22"/>
  <c r="P5" i="22" s="1"/>
  <c r="L5" i="22"/>
  <c r="H5" i="22"/>
  <c r="P4" i="22"/>
  <c r="O4" i="22"/>
  <c r="N4" i="22"/>
  <c r="L4" i="22"/>
  <c r="H4" i="22"/>
  <c r="N3" i="22"/>
  <c r="P3" i="22" s="1"/>
  <c r="L3" i="22"/>
  <c r="H3" i="22"/>
  <c r="O7" i="22" l="1"/>
  <c r="O2" i="22"/>
  <c r="P2" i="22"/>
  <c r="L2" i="22"/>
  <c r="P17" i="22"/>
  <c r="O17" i="22"/>
  <c r="P13" i="22"/>
  <c r="O13" i="22"/>
  <c r="P12" i="22"/>
  <c r="O12" i="22"/>
  <c r="O22" i="22"/>
  <c r="P22" i="22"/>
  <c r="L17" i="22"/>
  <c r="O11" i="22"/>
  <c r="O20" i="22"/>
  <c r="O5" i="22"/>
  <c r="O8" i="22"/>
  <c r="O14" i="22"/>
  <c r="L12" i="22"/>
  <c r="O21" i="22"/>
  <c r="O6" i="22"/>
  <c r="O9" i="22"/>
  <c r="O15" i="22"/>
  <c r="O18" i="22"/>
  <c r="O3" i="22"/>
  <c r="L22" i="22"/>
  <c r="L13" i="22"/>
  <c r="O23" i="22" l="1"/>
  <c r="O24" i="22" s="1"/>
  <c r="L23" i="22"/>
  <c r="L24" i="22" s="1"/>
  <c r="H2" i="40" l="1"/>
  <c r="P8" i="40"/>
  <c r="N8" i="40"/>
  <c r="O8" i="40" s="1"/>
  <c r="L8" i="40"/>
  <c r="N7" i="40"/>
  <c r="P7" i="40" s="1"/>
  <c r="L7" i="40"/>
  <c r="P6" i="40"/>
  <c r="N6" i="40"/>
  <c r="O6" i="40" s="1"/>
  <c r="L6" i="40"/>
  <c r="K6" i="40"/>
  <c r="K5" i="40"/>
  <c r="K4" i="40"/>
  <c r="H8" i="40"/>
  <c r="H7" i="40"/>
  <c r="H6" i="40"/>
  <c r="H5" i="40"/>
  <c r="H4" i="40"/>
  <c r="L5" i="37"/>
  <c r="N5" i="37"/>
  <c r="O5" i="37"/>
  <c r="P5" i="37"/>
  <c r="L6" i="37"/>
  <c r="N6" i="37"/>
  <c r="O6" i="37"/>
  <c r="P6" i="37"/>
  <c r="L7" i="37"/>
  <c r="N7" i="37"/>
  <c r="O7" i="37"/>
  <c r="P7" i="37"/>
  <c r="L8" i="37"/>
  <c r="N8" i="37"/>
  <c r="O8" i="37"/>
  <c r="P8" i="37"/>
  <c r="K6" i="37"/>
  <c r="K5" i="37"/>
  <c r="K4" i="37"/>
  <c r="H8" i="37"/>
  <c r="H7" i="37"/>
  <c r="H6" i="37"/>
  <c r="H5" i="37"/>
  <c r="H4" i="37"/>
  <c r="K3" i="37"/>
  <c r="H3" i="37"/>
  <c r="O7" i="40" l="1"/>
  <c r="K26" i="40" l="1"/>
  <c r="N26" i="40" s="1"/>
  <c r="H26" i="40"/>
  <c r="N25" i="40"/>
  <c r="P25" i="40" s="1"/>
  <c r="L25" i="40"/>
  <c r="H25" i="40"/>
  <c r="N24" i="40"/>
  <c r="P24" i="40" s="1"/>
  <c r="L24" i="40"/>
  <c r="H24" i="40"/>
  <c r="N23" i="40"/>
  <c r="P23" i="40" s="1"/>
  <c r="L23" i="40"/>
  <c r="H23" i="40"/>
  <c r="N22" i="40"/>
  <c r="P22" i="40" s="1"/>
  <c r="L22" i="40"/>
  <c r="H22" i="40"/>
  <c r="K21" i="40"/>
  <c r="N21" i="40" s="1"/>
  <c r="H21" i="40"/>
  <c r="N20" i="40"/>
  <c r="P20" i="40" s="1"/>
  <c r="L20" i="40"/>
  <c r="H20" i="40"/>
  <c r="N19" i="40"/>
  <c r="P19" i="40" s="1"/>
  <c r="L19" i="40"/>
  <c r="H19" i="40"/>
  <c r="K18" i="40"/>
  <c r="N18" i="40" s="1"/>
  <c r="H18" i="40"/>
  <c r="N17" i="40"/>
  <c r="P17" i="40" s="1"/>
  <c r="L17" i="40"/>
  <c r="H17" i="40"/>
  <c r="N16" i="40"/>
  <c r="P16" i="40" s="1"/>
  <c r="L16" i="40"/>
  <c r="H16" i="40"/>
  <c r="N15" i="40"/>
  <c r="F15" i="40"/>
  <c r="L15" i="40" s="1"/>
  <c r="N14" i="40"/>
  <c r="P14" i="40" s="1"/>
  <c r="L14" i="40"/>
  <c r="H14" i="40"/>
  <c r="N13" i="40"/>
  <c r="P13" i="40" s="1"/>
  <c r="F13" i="40"/>
  <c r="L13" i="40" s="1"/>
  <c r="N12" i="40"/>
  <c r="P12" i="40" s="1"/>
  <c r="L12" i="40"/>
  <c r="H12" i="40"/>
  <c r="N11" i="40"/>
  <c r="P11" i="40" s="1"/>
  <c r="L11" i="40"/>
  <c r="J11" i="40"/>
  <c r="H11" i="40"/>
  <c r="N10" i="40"/>
  <c r="P10" i="40" s="1"/>
  <c r="L10" i="40"/>
  <c r="H10" i="40"/>
  <c r="N9" i="40"/>
  <c r="P9" i="40" s="1"/>
  <c r="L9" i="40"/>
  <c r="H9" i="40"/>
  <c r="N5" i="40"/>
  <c r="N4" i="40"/>
  <c r="K3" i="40"/>
  <c r="N3" i="40" s="1"/>
  <c r="H3" i="40"/>
  <c r="K2" i="40"/>
  <c r="L2" i="40" s="1"/>
  <c r="J2" i="40"/>
  <c r="K26" i="37"/>
  <c r="N26" i="37" s="1"/>
  <c r="H26" i="37"/>
  <c r="N25" i="37"/>
  <c r="P25" i="37" s="1"/>
  <c r="L25" i="37"/>
  <c r="H25" i="37"/>
  <c r="N24" i="37"/>
  <c r="P24" i="37" s="1"/>
  <c r="L24" i="37"/>
  <c r="H24" i="37"/>
  <c r="N23" i="37"/>
  <c r="O23" i="37" s="1"/>
  <c r="L23" i="37"/>
  <c r="H23" i="37"/>
  <c r="N22" i="37"/>
  <c r="P22" i="37" s="1"/>
  <c r="L22" i="37"/>
  <c r="H22" i="37"/>
  <c r="K21" i="37"/>
  <c r="N21" i="37" s="1"/>
  <c r="H21" i="37"/>
  <c r="N20" i="37"/>
  <c r="O20" i="37" s="1"/>
  <c r="L20" i="37"/>
  <c r="H20" i="37"/>
  <c r="N19" i="37"/>
  <c r="P19" i="37" s="1"/>
  <c r="L19" i="37"/>
  <c r="H19" i="37"/>
  <c r="K18" i="37"/>
  <c r="N18" i="37" s="1"/>
  <c r="H18" i="37"/>
  <c r="N17" i="37"/>
  <c r="O17" i="37" s="1"/>
  <c r="L17" i="37"/>
  <c r="H17" i="37"/>
  <c r="N16" i="37"/>
  <c r="P16" i="37" s="1"/>
  <c r="L16" i="37"/>
  <c r="H16" i="37"/>
  <c r="N15" i="37"/>
  <c r="F15" i="37"/>
  <c r="L15" i="37" s="1"/>
  <c r="N14" i="37"/>
  <c r="O14" i="37" s="1"/>
  <c r="L14" i="37"/>
  <c r="H14" i="37"/>
  <c r="N13" i="37"/>
  <c r="P13" i="37" s="1"/>
  <c r="L13" i="37"/>
  <c r="H13" i="37"/>
  <c r="N12" i="37"/>
  <c r="O12" i="37" s="1"/>
  <c r="L12" i="37"/>
  <c r="H12" i="37"/>
  <c r="N11" i="37"/>
  <c r="O11" i="37" s="1"/>
  <c r="L11" i="37"/>
  <c r="J11" i="37"/>
  <c r="H11" i="37"/>
  <c r="N10" i="37"/>
  <c r="P10" i="37" s="1"/>
  <c r="L10" i="37"/>
  <c r="H10" i="37"/>
  <c r="N9" i="37"/>
  <c r="O9" i="37" s="1"/>
  <c r="L9" i="37"/>
  <c r="H9" i="37"/>
  <c r="N4" i="37"/>
  <c r="N3" i="37"/>
  <c r="K2" i="37"/>
  <c r="N2" i="37" s="1"/>
  <c r="J2" i="37"/>
  <c r="H2" i="37"/>
  <c r="K19" i="35"/>
  <c r="K24" i="35"/>
  <c r="F11" i="35"/>
  <c r="L11" i="35" s="1"/>
  <c r="J9" i="35"/>
  <c r="J2" i="35"/>
  <c r="K4" i="35"/>
  <c r="H4" i="35"/>
  <c r="F13" i="35"/>
  <c r="L13" i="35" s="1"/>
  <c r="N24" i="35"/>
  <c r="H24" i="35"/>
  <c r="N23" i="35"/>
  <c r="P23" i="35" s="1"/>
  <c r="L23" i="35"/>
  <c r="H23" i="35"/>
  <c r="N22" i="35"/>
  <c r="P22" i="35" s="1"/>
  <c r="L22" i="35"/>
  <c r="H22" i="35"/>
  <c r="P21" i="35"/>
  <c r="O21" i="35"/>
  <c r="N21" i="35"/>
  <c r="L21" i="35"/>
  <c r="H21" i="35"/>
  <c r="N20" i="35"/>
  <c r="P20" i="35" s="1"/>
  <c r="L20" i="35"/>
  <c r="H20" i="35"/>
  <c r="N19" i="35"/>
  <c r="H19" i="35"/>
  <c r="P18" i="35"/>
  <c r="O18" i="35"/>
  <c r="N18" i="35"/>
  <c r="L18" i="35"/>
  <c r="H18" i="35"/>
  <c r="N17" i="35"/>
  <c r="P17" i="35" s="1"/>
  <c r="L17" i="35"/>
  <c r="H17" i="35"/>
  <c r="K16" i="35"/>
  <c r="N16" i="35" s="1"/>
  <c r="H16" i="35"/>
  <c r="P15" i="35"/>
  <c r="O15" i="35"/>
  <c r="N15" i="35"/>
  <c r="L15" i="35"/>
  <c r="H15" i="35"/>
  <c r="N14" i="35"/>
  <c r="P14" i="35" s="1"/>
  <c r="L14" i="35"/>
  <c r="H14" i="35"/>
  <c r="N13" i="35"/>
  <c r="P12" i="35"/>
  <c r="O12" i="35"/>
  <c r="N12" i="35"/>
  <c r="L12" i="35"/>
  <c r="H12" i="35"/>
  <c r="N11" i="35"/>
  <c r="P11" i="35" s="1"/>
  <c r="H11" i="35"/>
  <c r="N10" i="35"/>
  <c r="O10" i="35" s="1"/>
  <c r="L10" i="35"/>
  <c r="H10" i="35"/>
  <c r="N9" i="35"/>
  <c r="O9" i="35" s="1"/>
  <c r="L9" i="35"/>
  <c r="H9" i="35"/>
  <c r="N8" i="35"/>
  <c r="P8" i="35" s="1"/>
  <c r="L8" i="35"/>
  <c r="H8" i="35"/>
  <c r="N7" i="35"/>
  <c r="O7" i="35" s="1"/>
  <c r="L7" i="35"/>
  <c r="H7" i="35"/>
  <c r="P6" i="35"/>
  <c r="O6" i="35"/>
  <c r="N6" i="35"/>
  <c r="L6" i="35"/>
  <c r="H6" i="35"/>
  <c r="K5" i="35"/>
  <c r="N5" i="35" s="1"/>
  <c r="H5" i="35"/>
  <c r="N4" i="35"/>
  <c r="K3" i="35"/>
  <c r="N3" i="35" s="1"/>
  <c r="H3" i="35"/>
  <c r="K2" i="35"/>
  <c r="N2" i="35" s="1"/>
  <c r="H2" i="35"/>
  <c r="K19" i="32"/>
  <c r="F13" i="32"/>
  <c r="K16" i="32"/>
  <c r="H16" i="32"/>
  <c r="P9" i="35" l="1"/>
  <c r="N2" i="40"/>
  <c r="P2" i="40" s="1"/>
  <c r="O15" i="40"/>
  <c r="P15" i="40"/>
  <c r="P12" i="37"/>
  <c r="P17" i="37"/>
  <c r="P9" i="37"/>
  <c r="P23" i="37"/>
  <c r="O15" i="37"/>
  <c r="P15" i="37"/>
  <c r="P11" i="37"/>
  <c r="P14" i="37"/>
  <c r="P20" i="37"/>
  <c r="O21" i="40"/>
  <c r="P21" i="40"/>
  <c r="P3" i="40"/>
  <c r="O3" i="40"/>
  <c r="P4" i="40"/>
  <c r="O4" i="40"/>
  <c r="P5" i="40"/>
  <c r="O5" i="40"/>
  <c r="O18" i="40"/>
  <c r="P18" i="40"/>
  <c r="P26" i="40"/>
  <c r="O26" i="40"/>
  <c r="H13" i="40"/>
  <c r="L5" i="40"/>
  <c r="O10" i="40"/>
  <c r="O25" i="40"/>
  <c r="O13" i="40"/>
  <c r="O16" i="40"/>
  <c r="O19" i="40"/>
  <c r="O22" i="40"/>
  <c r="L3" i="40"/>
  <c r="L26" i="40"/>
  <c r="O11" i="40"/>
  <c r="O14" i="40"/>
  <c r="O17" i="40"/>
  <c r="O20" i="40"/>
  <c r="O23" i="40"/>
  <c r="L4" i="40"/>
  <c r="H15" i="40"/>
  <c r="L18" i="40"/>
  <c r="L21" i="40"/>
  <c r="O9" i="40"/>
  <c r="O12" i="40"/>
  <c r="O24" i="40"/>
  <c r="O21" i="37"/>
  <c r="P21" i="37"/>
  <c r="O18" i="37"/>
  <c r="P18" i="37"/>
  <c r="P2" i="37"/>
  <c r="O2" i="37"/>
  <c r="P3" i="37"/>
  <c r="O3" i="37"/>
  <c r="O4" i="37"/>
  <c r="P4" i="37"/>
  <c r="P26" i="37"/>
  <c r="O26" i="37"/>
  <c r="L2" i="37"/>
  <c r="O25" i="37"/>
  <c r="O10" i="37"/>
  <c r="O13" i="37"/>
  <c r="O16" i="37"/>
  <c r="O19" i="37"/>
  <c r="O22" i="37"/>
  <c r="L3" i="37"/>
  <c r="L26" i="37"/>
  <c r="H15" i="37"/>
  <c r="H27" i="37" s="1"/>
  <c r="L4" i="37"/>
  <c r="L18" i="37"/>
  <c r="L21" i="37"/>
  <c r="O24" i="37"/>
  <c r="H25" i="35"/>
  <c r="O13" i="35"/>
  <c r="O16" i="35"/>
  <c r="P16" i="35"/>
  <c r="P2" i="35"/>
  <c r="O2" i="35"/>
  <c r="O3" i="35"/>
  <c r="P3" i="35"/>
  <c r="P4" i="35"/>
  <c r="O4" i="35"/>
  <c r="P5" i="35"/>
  <c r="O5" i="35"/>
  <c r="O19" i="35"/>
  <c r="P19" i="35"/>
  <c r="O24" i="35"/>
  <c r="P24" i="35"/>
  <c r="H13" i="35"/>
  <c r="P7" i="35"/>
  <c r="P10" i="35"/>
  <c r="P13" i="35"/>
  <c r="L2" i="35"/>
  <c r="L5" i="35"/>
  <c r="O23" i="35"/>
  <c r="O8" i="35"/>
  <c r="O11" i="35"/>
  <c r="O14" i="35"/>
  <c r="O17" i="35"/>
  <c r="O20" i="35"/>
  <c r="L3" i="35"/>
  <c r="L24" i="35"/>
  <c r="L4" i="35"/>
  <c r="L16" i="35"/>
  <c r="L19" i="35"/>
  <c r="O22" i="35"/>
  <c r="O2" i="40" l="1"/>
  <c r="O27" i="40"/>
  <c r="O28" i="40" s="1"/>
  <c r="H27" i="40"/>
  <c r="L27" i="40"/>
  <c r="L28" i="40" s="1"/>
  <c r="L27" i="37"/>
  <c r="L28" i="37" s="1"/>
  <c r="O27" i="37"/>
  <c r="O28" i="37" s="1"/>
  <c r="L25" i="35"/>
  <c r="L26" i="35" s="1"/>
  <c r="O25" i="35"/>
  <c r="O26" i="35" s="1"/>
  <c r="F13" i="26" l="1"/>
  <c r="F13" i="28"/>
  <c r="F13" i="30"/>
  <c r="J9" i="30"/>
  <c r="K3" i="32"/>
  <c r="L3" i="32" s="1"/>
  <c r="K24" i="32"/>
  <c r="L24" i="32" s="1"/>
  <c r="H24" i="32"/>
  <c r="N23" i="32"/>
  <c r="P23" i="32" s="1"/>
  <c r="L23" i="32"/>
  <c r="H23" i="32"/>
  <c r="N22" i="32"/>
  <c r="P22" i="32" s="1"/>
  <c r="L22" i="32"/>
  <c r="H22" i="32"/>
  <c r="N21" i="32"/>
  <c r="O21" i="32" s="1"/>
  <c r="L21" i="32"/>
  <c r="H21" i="32"/>
  <c r="P20" i="32"/>
  <c r="N20" i="32"/>
  <c r="O20" i="32" s="1"/>
  <c r="L20" i="32"/>
  <c r="H20" i="32"/>
  <c r="N19" i="32"/>
  <c r="H19" i="32"/>
  <c r="N18" i="32"/>
  <c r="P18" i="32" s="1"/>
  <c r="L18" i="32"/>
  <c r="H18" i="32"/>
  <c r="P17" i="32"/>
  <c r="N17" i="32"/>
  <c r="O17" i="32" s="1"/>
  <c r="L17" i="32"/>
  <c r="H17" i="32"/>
  <c r="P16" i="32"/>
  <c r="N16" i="32"/>
  <c r="O16" i="32" s="1"/>
  <c r="L16" i="32"/>
  <c r="N15" i="32"/>
  <c r="P15" i="32" s="1"/>
  <c r="L15" i="32"/>
  <c r="H15" i="32"/>
  <c r="P14" i="32"/>
  <c r="O14" i="32"/>
  <c r="N14" i="32"/>
  <c r="L14" i="32"/>
  <c r="H14" i="32"/>
  <c r="P13" i="32"/>
  <c r="O13" i="32"/>
  <c r="N13" i="32"/>
  <c r="L13" i="32"/>
  <c r="H13" i="32"/>
  <c r="P12" i="32"/>
  <c r="N12" i="32"/>
  <c r="O12" i="32" s="1"/>
  <c r="L12" i="32"/>
  <c r="H12" i="32"/>
  <c r="P11" i="32"/>
  <c r="O11" i="32"/>
  <c r="N11" i="32"/>
  <c r="L11" i="32"/>
  <c r="H11" i="32"/>
  <c r="N10" i="32"/>
  <c r="P10" i="32" s="1"/>
  <c r="L10" i="32"/>
  <c r="H10" i="32"/>
  <c r="N9" i="32"/>
  <c r="P9" i="32" s="1"/>
  <c r="L9" i="32"/>
  <c r="J9" i="32"/>
  <c r="H9" i="32"/>
  <c r="P8" i="32"/>
  <c r="O8" i="32"/>
  <c r="N8" i="32"/>
  <c r="L8" i="32"/>
  <c r="H8" i="32"/>
  <c r="N7" i="32"/>
  <c r="P7" i="32" s="1"/>
  <c r="L7" i="32"/>
  <c r="H7" i="32"/>
  <c r="P6" i="32"/>
  <c r="O6" i="32"/>
  <c r="N6" i="32"/>
  <c r="L6" i="32"/>
  <c r="H6" i="32"/>
  <c r="N5" i="32"/>
  <c r="P5" i="32" s="1"/>
  <c r="L5" i="32"/>
  <c r="K5" i="32"/>
  <c r="H5" i="32"/>
  <c r="N4" i="32"/>
  <c r="P4" i="32" s="1"/>
  <c r="K4" i="32"/>
  <c r="L4" i="32" s="1"/>
  <c r="H4" i="32"/>
  <c r="H3" i="32"/>
  <c r="K2" i="32"/>
  <c r="N2" i="32" s="1"/>
  <c r="J2" i="32"/>
  <c r="H2" i="32"/>
  <c r="K4" i="30"/>
  <c r="H4" i="30"/>
  <c r="K24" i="30"/>
  <c r="J2" i="30"/>
  <c r="N24" i="30"/>
  <c r="P24" i="30" s="1"/>
  <c r="L24" i="30"/>
  <c r="H24" i="30"/>
  <c r="N23" i="30"/>
  <c r="P23" i="30" s="1"/>
  <c r="L23" i="30"/>
  <c r="H23" i="30"/>
  <c r="N22" i="30"/>
  <c r="P22" i="30" s="1"/>
  <c r="L22" i="30"/>
  <c r="H22" i="30"/>
  <c r="N21" i="30"/>
  <c r="P21" i="30" s="1"/>
  <c r="L21" i="30"/>
  <c r="H21" i="30"/>
  <c r="P20" i="30"/>
  <c r="N20" i="30"/>
  <c r="O20" i="30" s="1"/>
  <c r="L20" i="30"/>
  <c r="H20" i="30"/>
  <c r="K19" i="30"/>
  <c r="N19" i="30" s="1"/>
  <c r="H19" i="30"/>
  <c r="N18" i="30"/>
  <c r="O18" i="30" s="1"/>
  <c r="L18" i="30"/>
  <c r="H18" i="30"/>
  <c r="P17" i="30"/>
  <c r="N17" i="30"/>
  <c r="O17" i="30" s="1"/>
  <c r="L17" i="30"/>
  <c r="H17" i="30"/>
  <c r="N16" i="30"/>
  <c r="O16" i="30" s="1"/>
  <c r="L16" i="30"/>
  <c r="H16" i="30"/>
  <c r="N15" i="30"/>
  <c r="O15" i="30" s="1"/>
  <c r="L15" i="30"/>
  <c r="H15" i="30"/>
  <c r="P14" i="30"/>
  <c r="O14" i="30"/>
  <c r="N14" i="30"/>
  <c r="L14" i="30"/>
  <c r="H14" i="30"/>
  <c r="N13" i="30"/>
  <c r="P13" i="30" s="1"/>
  <c r="L13" i="30"/>
  <c r="H13" i="30"/>
  <c r="O12" i="30"/>
  <c r="N12" i="30"/>
  <c r="P12" i="30" s="1"/>
  <c r="L12" i="30"/>
  <c r="H12" i="30"/>
  <c r="P11" i="30"/>
  <c r="O11" i="30"/>
  <c r="N11" i="30"/>
  <c r="L11" i="30"/>
  <c r="H11" i="30"/>
  <c r="P10" i="30"/>
  <c r="N10" i="30"/>
  <c r="O10" i="30" s="1"/>
  <c r="L10" i="30"/>
  <c r="H10" i="30"/>
  <c r="N9" i="30"/>
  <c r="O9" i="30" s="1"/>
  <c r="L9" i="30"/>
  <c r="H9" i="30"/>
  <c r="P8" i="30"/>
  <c r="O8" i="30"/>
  <c r="N8" i="30"/>
  <c r="L8" i="30"/>
  <c r="H8" i="30"/>
  <c r="P7" i="30"/>
  <c r="N7" i="30"/>
  <c r="O7" i="30" s="1"/>
  <c r="L7" i="30"/>
  <c r="H7" i="30"/>
  <c r="N6" i="30"/>
  <c r="O6" i="30" s="1"/>
  <c r="L6" i="30"/>
  <c r="H6" i="30"/>
  <c r="P5" i="30"/>
  <c r="O5" i="30"/>
  <c r="N5" i="30"/>
  <c r="L5" i="30"/>
  <c r="K5" i="30"/>
  <c r="H5" i="30"/>
  <c r="N4" i="30"/>
  <c r="K3" i="30"/>
  <c r="N3" i="30" s="1"/>
  <c r="H3" i="30"/>
  <c r="K2" i="30"/>
  <c r="N2" i="30" s="1"/>
  <c r="H2" i="30"/>
  <c r="K3" i="28"/>
  <c r="H3" i="28"/>
  <c r="K24" i="28"/>
  <c r="O9" i="32" l="1"/>
  <c r="H25" i="32"/>
  <c r="O19" i="32"/>
  <c r="P19" i="32"/>
  <c r="P2" i="32"/>
  <c r="O2" i="32"/>
  <c r="O4" i="32"/>
  <c r="O7" i="32"/>
  <c r="O10" i="32"/>
  <c r="L2" i="32"/>
  <c r="O23" i="32"/>
  <c r="O5" i="32"/>
  <c r="N24" i="32"/>
  <c r="O18" i="32"/>
  <c r="N3" i="32"/>
  <c r="O15" i="32"/>
  <c r="P21" i="32"/>
  <c r="L19" i="32"/>
  <c r="O22" i="32"/>
  <c r="H25" i="30"/>
  <c r="O3" i="30"/>
  <c r="P3" i="30"/>
  <c r="P4" i="30"/>
  <c r="O4" i="30"/>
  <c r="O19" i="30"/>
  <c r="P19" i="30"/>
  <c r="P2" i="30"/>
  <c r="O2" i="30"/>
  <c r="L3" i="30"/>
  <c r="P6" i="30"/>
  <c r="L4" i="30"/>
  <c r="O13" i="30"/>
  <c r="P16" i="30"/>
  <c r="P9" i="30"/>
  <c r="O22" i="30"/>
  <c r="O21" i="30"/>
  <c r="L2" i="30"/>
  <c r="O23" i="30"/>
  <c r="L19" i="30"/>
  <c r="P15" i="30"/>
  <c r="O24" i="30"/>
  <c r="P18" i="30"/>
  <c r="P3" i="32" l="1"/>
  <c r="O3" i="32"/>
  <c r="P24" i="32"/>
  <c r="O24" i="32"/>
  <c r="L25" i="32"/>
  <c r="L26" i="32" s="1"/>
  <c r="O25" i="32"/>
  <c r="O26" i="32" s="1"/>
  <c r="L25" i="30"/>
  <c r="L26" i="30" s="1"/>
  <c r="O25" i="30"/>
  <c r="O26" i="30" s="1"/>
  <c r="J9" i="28" l="1"/>
  <c r="J2" i="28"/>
  <c r="L24" i="28"/>
  <c r="H24" i="28"/>
  <c r="P23" i="28"/>
  <c r="N23" i="28"/>
  <c r="O23" i="28" s="1"/>
  <c r="L23" i="28"/>
  <c r="H23" i="28"/>
  <c r="N22" i="28"/>
  <c r="P22" i="28" s="1"/>
  <c r="L22" i="28"/>
  <c r="H22" i="28"/>
  <c r="O21" i="28"/>
  <c r="N21" i="28"/>
  <c r="P21" i="28" s="1"/>
  <c r="L21" i="28"/>
  <c r="H21" i="28"/>
  <c r="P20" i="28"/>
  <c r="O20" i="28"/>
  <c r="N20" i="28"/>
  <c r="L20" i="28"/>
  <c r="H20" i="28"/>
  <c r="K19" i="28"/>
  <c r="N19" i="28" s="1"/>
  <c r="H19" i="28"/>
  <c r="N18" i="28"/>
  <c r="P18" i="28" s="1"/>
  <c r="L18" i="28"/>
  <c r="H18" i="28"/>
  <c r="P17" i="28"/>
  <c r="O17" i="28"/>
  <c r="N17" i="28"/>
  <c r="L17" i="28"/>
  <c r="H17" i="28"/>
  <c r="N16" i="28"/>
  <c r="P16" i="28" s="1"/>
  <c r="L16" i="28"/>
  <c r="H16" i="28"/>
  <c r="N15" i="28"/>
  <c r="P15" i="28" s="1"/>
  <c r="L15" i="28"/>
  <c r="H15" i="28"/>
  <c r="N14" i="28"/>
  <c r="P14" i="28" s="1"/>
  <c r="L14" i="28"/>
  <c r="H14" i="28"/>
  <c r="N13" i="28"/>
  <c r="P13" i="28" s="1"/>
  <c r="L13" i="28"/>
  <c r="H13" i="28"/>
  <c r="N12" i="28"/>
  <c r="P12" i="28" s="1"/>
  <c r="L12" i="28"/>
  <c r="H12" i="28"/>
  <c r="N11" i="28"/>
  <c r="P11" i="28" s="1"/>
  <c r="L11" i="28"/>
  <c r="H11" i="28"/>
  <c r="P10" i="28"/>
  <c r="N10" i="28"/>
  <c r="O10" i="28" s="1"/>
  <c r="L10" i="28"/>
  <c r="H10" i="28"/>
  <c r="N9" i="28"/>
  <c r="P9" i="28" s="1"/>
  <c r="L9" i="28"/>
  <c r="H9" i="28"/>
  <c r="N8" i="28"/>
  <c r="P8" i="28" s="1"/>
  <c r="L8" i="28"/>
  <c r="H8" i="28"/>
  <c r="P7" i="28"/>
  <c r="N7" i="28"/>
  <c r="O7" i="28" s="1"/>
  <c r="L7" i="28"/>
  <c r="H7" i="28"/>
  <c r="N6" i="28"/>
  <c r="P6" i="28" s="1"/>
  <c r="L6" i="28"/>
  <c r="H6" i="28"/>
  <c r="K5" i="28"/>
  <c r="L5" i="28" s="1"/>
  <c r="H5" i="28"/>
  <c r="K4" i="28"/>
  <c r="N4" i="28" s="1"/>
  <c r="H4" i="28"/>
  <c r="N3" i="28"/>
  <c r="N2" i="28"/>
  <c r="P2" i="28" s="1"/>
  <c r="K2" i="28"/>
  <c r="L2" i="28" s="1"/>
  <c r="H2" i="28"/>
  <c r="N2" i="26"/>
  <c r="K24" i="26"/>
  <c r="K24" i="6"/>
  <c r="P2" i="26"/>
  <c r="L2" i="26"/>
  <c r="K2" i="26"/>
  <c r="J2" i="26"/>
  <c r="H2" i="26"/>
  <c r="N24" i="26"/>
  <c r="H24" i="26"/>
  <c r="N23" i="26"/>
  <c r="P23" i="26" s="1"/>
  <c r="L23" i="26"/>
  <c r="H23" i="26"/>
  <c r="N22" i="26"/>
  <c r="P22" i="26" s="1"/>
  <c r="L22" i="26"/>
  <c r="H22" i="26"/>
  <c r="N21" i="26"/>
  <c r="P21" i="26" s="1"/>
  <c r="L21" i="26"/>
  <c r="H21" i="26"/>
  <c r="N20" i="26"/>
  <c r="P20" i="26" s="1"/>
  <c r="L20" i="26"/>
  <c r="H20" i="26"/>
  <c r="K19" i="26"/>
  <c r="N19" i="26" s="1"/>
  <c r="H19" i="26"/>
  <c r="N18" i="26"/>
  <c r="P18" i="26" s="1"/>
  <c r="L18" i="26"/>
  <c r="H18" i="26"/>
  <c r="N17" i="26"/>
  <c r="P17" i="26" s="1"/>
  <c r="L17" i="26"/>
  <c r="H17" i="26"/>
  <c r="N16" i="26"/>
  <c r="O16" i="26" s="1"/>
  <c r="L16" i="26"/>
  <c r="H16" i="26"/>
  <c r="N15" i="26"/>
  <c r="P15" i="26" s="1"/>
  <c r="L15" i="26"/>
  <c r="H15" i="26"/>
  <c r="N14" i="26"/>
  <c r="P14" i="26" s="1"/>
  <c r="L14" i="26"/>
  <c r="H14" i="26"/>
  <c r="N13" i="26"/>
  <c r="P13" i="26" s="1"/>
  <c r="L13" i="26"/>
  <c r="H13" i="26"/>
  <c r="N12" i="26"/>
  <c r="P12" i="26" s="1"/>
  <c r="L12" i="26"/>
  <c r="H12" i="26"/>
  <c r="N11" i="26"/>
  <c r="P11" i="26" s="1"/>
  <c r="L11" i="26"/>
  <c r="H11" i="26"/>
  <c r="N10" i="26"/>
  <c r="P10" i="26" s="1"/>
  <c r="L10" i="26"/>
  <c r="H10" i="26"/>
  <c r="N9" i="26"/>
  <c r="P9" i="26" s="1"/>
  <c r="L9" i="26"/>
  <c r="J9" i="26"/>
  <c r="H9" i="26"/>
  <c r="N8" i="26"/>
  <c r="P8" i="26" s="1"/>
  <c r="L8" i="26"/>
  <c r="H8" i="26"/>
  <c r="N7" i="26"/>
  <c r="P7" i="26" s="1"/>
  <c r="L7" i="26"/>
  <c r="H7" i="26"/>
  <c r="N6" i="26"/>
  <c r="P6" i="26" s="1"/>
  <c r="L6" i="26"/>
  <c r="H6" i="26"/>
  <c r="K5" i="26"/>
  <c r="N5" i="26" s="1"/>
  <c r="H5" i="26"/>
  <c r="N4" i="26"/>
  <c r="P4" i="26" s="1"/>
  <c r="K4" i="26"/>
  <c r="L4" i="26" s="1"/>
  <c r="H4" i="26"/>
  <c r="K3" i="26"/>
  <c r="N3" i="26" s="1"/>
  <c r="H3" i="26"/>
  <c r="L25" i="26" l="1"/>
  <c r="L26" i="26" s="1"/>
  <c r="H25" i="28"/>
  <c r="P19" i="28"/>
  <c r="O19" i="28"/>
  <c r="P4" i="28"/>
  <c r="O4" i="28"/>
  <c r="P3" i="28"/>
  <c r="O3" i="28"/>
  <c r="O2" i="28"/>
  <c r="O14" i="28"/>
  <c r="N5" i="28"/>
  <c r="O11" i="28"/>
  <c r="L3" i="28"/>
  <c r="L25" i="28" s="1"/>
  <c r="L26" i="28" s="1"/>
  <c r="O18" i="28"/>
  <c r="O15" i="28"/>
  <c r="O12" i="28"/>
  <c r="O6" i="28"/>
  <c r="O9" i="28"/>
  <c r="L19" i="28"/>
  <c r="O22" i="28"/>
  <c r="L4" i="28"/>
  <c r="O16" i="28"/>
  <c r="O13" i="28"/>
  <c r="O8" i="28"/>
  <c r="N24" i="28"/>
  <c r="H25" i="26"/>
  <c r="O13" i="26"/>
  <c r="P16" i="26"/>
  <c r="O2" i="26"/>
  <c r="O19" i="26"/>
  <c r="P19" i="26"/>
  <c r="P5" i="26"/>
  <c r="O5" i="26"/>
  <c r="P3" i="26"/>
  <c r="O3" i="26"/>
  <c r="P24" i="26"/>
  <c r="O24" i="26"/>
  <c r="O4" i="26"/>
  <c r="O7" i="26"/>
  <c r="O10" i="26"/>
  <c r="O23" i="26"/>
  <c r="O17" i="26"/>
  <c r="O20" i="26"/>
  <c r="L5" i="26"/>
  <c r="O14" i="26"/>
  <c r="O8" i="26"/>
  <c r="O11" i="26"/>
  <c r="L24" i="26"/>
  <c r="L3" i="26"/>
  <c r="O18" i="26"/>
  <c r="O21" i="26"/>
  <c r="O15" i="26"/>
  <c r="O12" i="26"/>
  <c r="O6" i="26"/>
  <c r="O9" i="26"/>
  <c r="L19" i="26"/>
  <c r="O22" i="26"/>
  <c r="O25" i="26" l="1"/>
  <c r="O26" i="26" s="1"/>
  <c r="P24" i="28"/>
  <c r="O24" i="28"/>
  <c r="P5" i="28"/>
  <c r="O5" i="28"/>
  <c r="O25" i="28"/>
  <c r="O26" i="28" s="1"/>
  <c r="J9" i="6" l="1"/>
  <c r="K2" i="6"/>
  <c r="L2" i="6"/>
  <c r="J2" i="6"/>
  <c r="N24" i="6"/>
  <c r="O24" i="6" s="1"/>
  <c r="L24" i="6"/>
  <c r="H24" i="6"/>
  <c r="P23" i="6"/>
  <c r="O23" i="6"/>
  <c r="N23" i="6"/>
  <c r="L23" i="6"/>
  <c r="H23" i="6"/>
  <c r="P22" i="6"/>
  <c r="O22" i="6"/>
  <c r="N22" i="6"/>
  <c r="L22" i="6"/>
  <c r="H22" i="6"/>
  <c r="P21" i="6"/>
  <c r="O21" i="6"/>
  <c r="N21" i="6"/>
  <c r="L21" i="6"/>
  <c r="H21" i="6"/>
  <c r="P20" i="6"/>
  <c r="O20" i="6"/>
  <c r="N20" i="6"/>
  <c r="L20" i="6"/>
  <c r="H20" i="6"/>
  <c r="P19" i="6"/>
  <c r="O19" i="6"/>
  <c r="N19" i="6"/>
  <c r="K19" i="6"/>
  <c r="L19" i="6" s="1"/>
  <c r="H19" i="6"/>
  <c r="P18" i="6"/>
  <c r="O18" i="6"/>
  <c r="N18" i="6"/>
  <c r="L18" i="6"/>
  <c r="H18" i="6"/>
  <c r="P17" i="6"/>
  <c r="O17" i="6"/>
  <c r="N17" i="6"/>
  <c r="L17" i="6"/>
  <c r="H17" i="6"/>
  <c r="P16" i="6"/>
  <c r="O16" i="6"/>
  <c r="N16" i="6"/>
  <c r="L16" i="6"/>
  <c r="H16" i="6"/>
  <c r="N15" i="6"/>
  <c r="P15" i="6" s="1"/>
  <c r="L15" i="6"/>
  <c r="H15" i="6"/>
  <c r="P14" i="6"/>
  <c r="N14" i="6"/>
  <c r="O14" i="6" s="1"/>
  <c r="L14" i="6"/>
  <c r="H14" i="6"/>
  <c r="P13" i="6"/>
  <c r="N13" i="6"/>
  <c r="O13" i="6" s="1"/>
  <c r="L13" i="6"/>
  <c r="H13" i="6"/>
  <c r="O12" i="6"/>
  <c r="N12" i="6"/>
  <c r="P12" i="6" s="1"/>
  <c r="L12" i="6"/>
  <c r="H12" i="6"/>
  <c r="N11" i="6"/>
  <c r="O11" i="6" s="1"/>
  <c r="L11" i="6"/>
  <c r="H11" i="6"/>
  <c r="P10" i="6"/>
  <c r="N10" i="6"/>
  <c r="O10" i="6" s="1"/>
  <c r="L10" i="6"/>
  <c r="H10" i="6"/>
  <c r="N9" i="6"/>
  <c r="P9" i="6" s="1"/>
  <c r="L9" i="6"/>
  <c r="L25" i="6" s="1"/>
  <c r="L26" i="6" s="1"/>
  <c r="H9" i="6"/>
  <c r="N8" i="6"/>
  <c r="O8" i="6" s="1"/>
  <c r="L8" i="6"/>
  <c r="H8" i="6"/>
  <c r="N7" i="6"/>
  <c r="P7" i="6" s="1"/>
  <c r="L7" i="6"/>
  <c r="H7" i="6"/>
  <c r="N6" i="6"/>
  <c r="P6" i="6" s="1"/>
  <c r="L6" i="6"/>
  <c r="H6" i="6"/>
  <c r="K5" i="6"/>
  <c r="N5" i="6" s="1"/>
  <c r="H5" i="6"/>
  <c r="N4" i="6"/>
  <c r="P4" i="6" s="1"/>
  <c r="L4" i="6"/>
  <c r="K4" i="6"/>
  <c r="H4" i="6"/>
  <c r="O3" i="6"/>
  <c r="N3" i="6"/>
  <c r="P3" i="6" s="1"/>
  <c r="L3" i="6"/>
  <c r="K3" i="6"/>
  <c r="H3" i="6"/>
  <c r="H2" i="6"/>
  <c r="H25" i="6" l="1"/>
  <c r="P24" i="6"/>
  <c r="N2" i="6"/>
  <c r="P2" i="6" s="1"/>
  <c r="P5" i="6"/>
  <c r="O5" i="6"/>
  <c r="O4" i="6"/>
  <c r="P8" i="6"/>
  <c r="P11" i="6"/>
  <c r="O7" i="6"/>
  <c r="L5" i="6"/>
  <c r="O15" i="6"/>
  <c r="O6" i="6"/>
  <c r="O9" i="6"/>
  <c r="O25" i="6" s="1"/>
  <c r="O26" i="6" s="1"/>
  <c r="O2" i="6" l="1"/>
  <c r="I74" i="38" l="1"/>
  <c r="G74" i="38" l="1"/>
  <c r="G60" i="38"/>
  <c r="F60" i="38"/>
  <c r="H38" i="38" l="1"/>
  <c r="G44" i="38"/>
  <c r="G45" i="38" s="1"/>
  <c r="G38" i="38"/>
  <c r="G27" i="38"/>
  <c r="G40" i="38"/>
  <c r="H44" i="38"/>
  <c r="H45" i="38" s="1"/>
  <c r="H36" i="38"/>
  <c r="G29" i="38"/>
  <c r="G26" i="38"/>
  <c r="G25" i="38"/>
  <c r="G28" i="38"/>
  <c r="F30" i="38"/>
  <c r="G43" i="38"/>
  <c r="G39" i="38"/>
  <c r="G36" i="38"/>
  <c r="G37" i="38"/>
  <c r="G42" i="38"/>
  <c r="G41" i="38"/>
  <c r="F25" i="38"/>
  <c r="F24" i="38"/>
  <c r="F26" i="38"/>
  <c r="F27" i="38"/>
  <c r="F28" i="38"/>
  <c r="F29" i="38"/>
  <c r="H41" i="38"/>
  <c r="H43" i="38"/>
  <c r="H40" i="38"/>
  <c r="H39" i="38"/>
  <c r="H42" i="38"/>
  <c r="H37" i="38"/>
  <c r="F74" i="38" l="1"/>
  <c r="E74" i="38"/>
  <c r="D74" i="38"/>
  <c r="D38" i="38" s="1"/>
  <c r="C74" i="38"/>
  <c r="C38" i="38" s="1"/>
  <c r="E60" i="38"/>
  <c r="D60" i="38"/>
  <c r="C60" i="38"/>
  <c r="E44" i="38" l="1"/>
  <c r="E45" i="38" s="1"/>
  <c r="E38" i="38"/>
  <c r="F38" i="38"/>
  <c r="D44" i="38"/>
  <c r="D45" i="38" s="1"/>
  <c r="C44" i="38"/>
  <c r="C45" i="38" s="1"/>
  <c r="C36" i="38"/>
  <c r="F42" i="38"/>
  <c r="F36" i="38"/>
  <c r="F43" i="38"/>
  <c r="F40" i="38"/>
  <c r="F44" i="38"/>
  <c r="F45" i="38" s="1"/>
  <c r="F41" i="38"/>
  <c r="F37" i="38"/>
  <c r="F39" i="38"/>
  <c r="E25" i="38"/>
  <c r="D24" i="38"/>
  <c r="C30" i="38"/>
  <c r="E41" i="38"/>
  <c r="C41" i="38"/>
  <c r="E30" i="38"/>
  <c r="E27" i="38"/>
  <c r="E29" i="38"/>
  <c r="E26" i="38"/>
  <c r="E24" i="38"/>
  <c r="E36" i="38"/>
  <c r="E39" i="38"/>
  <c r="E42" i="38"/>
  <c r="E43" i="38"/>
  <c r="C43" i="38"/>
  <c r="C39" i="38"/>
  <c r="C40" i="38"/>
  <c r="C37" i="38"/>
  <c r="C42" i="38"/>
  <c r="E37" i="38"/>
  <c r="E40" i="38"/>
  <c r="E28" i="38"/>
  <c r="D25" i="38"/>
  <c r="D28" i="38"/>
  <c r="D27" i="38"/>
  <c r="D29" i="38"/>
  <c r="D26" i="38"/>
  <c r="D30" i="38"/>
  <c r="C29" i="38"/>
  <c r="C26" i="38"/>
  <c r="C24" i="38"/>
  <c r="C25" i="38"/>
  <c r="C27" i="38"/>
  <c r="C28" i="38"/>
  <c r="D39" i="38" l="1"/>
  <c r="D41" i="38"/>
  <c r="D37" i="38"/>
  <c r="D36" i="38"/>
  <c r="D40" i="38"/>
  <c r="D42" i="38"/>
  <c r="D43" i="38"/>
  <c r="B60" i="38" l="1"/>
  <c r="B24" i="38" l="1"/>
  <c r="B27" i="38"/>
  <c r="B29" i="38"/>
  <c r="B28" i="38"/>
  <c r="B25" i="38"/>
  <c r="B26" i="38"/>
  <c r="B30" i="38"/>
  <c r="B74" i="38" l="1"/>
  <c r="B38" i="38" l="1"/>
  <c r="B37" i="38"/>
  <c r="B36" i="38"/>
  <c r="B42" i="38"/>
  <c r="B41" i="38"/>
  <c r="B43" i="38"/>
  <c r="B44" i="38"/>
  <c r="B45" i="38" s="1"/>
  <c r="B40" i="38"/>
  <c r="B39" i="38"/>
</calcChain>
</file>

<file path=xl/sharedStrings.xml><?xml version="1.0" encoding="utf-8"?>
<sst xmlns="http://schemas.openxmlformats.org/spreadsheetml/2006/main" count="1808" uniqueCount="149">
  <si>
    <t>Kẹp biên PIN năng lượng mặt trời</t>
  </si>
  <si>
    <t>PN Tech</t>
  </si>
  <si>
    <t>SLM</t>
  </si>
  <si>
    <t>HỆ KHUNG GIÁ ĐỠ NHÔM CAO CẤP</t>
  </si>
  <si>
    <t>HỆ DÂY ĐIỆN DC-AC</t>
  </si>
  <si>
    <t>Việt Nam</t>
  </si>
  <si>
    <t>HỆ TIẾP ĐỊA</t>
  </si>
  <si>
    <t>NHÂN CÔNG LẮP ĐẶT</t>
  </si>
  <si>
    <t>Cái</t>
  </si>
  <si>
    <t>Dây mạng tín hiệu truyền dẫn phủ tải Inverter đến Tủ điện</t>
  </si>
  <si>
    <t>Bộ</t>
  </si>
  <si>
    <t>TẤM PIN PV</t>
  </si>
  <si>
    <t>PIN LƯU TRỮ</t>
  </si>
  <si>
    <t>Kẹp giữa PIN năng lượng mặt trời</t>
  </si>
  <si>
    <t>Cọc đồng Tiếp Địa 1,5m</t>
  </si>
  <si>
    <t>Tấm</t>
  </si>
  <si>
    <t>Jack MC4 chuyên dụng NLMT 1500V</t>
  </si>
  <si>
    <t>Mét</t>
  </si>
  <si>
    <t>TỦ ĐIỆN NLMT</t>
  </si>
  <si>
    <t>12 Năm</t>
  </si>
  <si>
    <t>5 Năm</t>
  </si>
  <si>
    <t xml:space="preserve">Cáp tiếp địa Cadivi CV-1x4mm2 </t>
  </si>
  <si>
    <t>Cadivi</t>
  </si>
  <si>
    <t>INVERTER DC-AC</t>
  </si>
  <si>
    <t>Ống nhựa HDPE đường kính 32mm (cuộn 25m)</t>
  </si>
  <si>
    <t>Thanh nối nhôm cao cấp</t>
  </si>
  <si>
    <t>Chân L- nhôm cao cấp</t>
  </si>
  <si>
    <t>Dây điện DC 4.0 màu đen
Cáp điện chuyên dụng DC Solar 0.4 1500V</t>
  </si>
  <si>
    <t>Dây điện DC 4.0 màu đỏ
Cáp điện chuyên dụng DC Solar 0.4 1500V</t>
  </si>
  <si>
    <t>Phụ kiện lắp đặt trọn gói (Bulong, ốc vít, Kẹp dây điện, băng keo điện, vật tư chống thấm thi công,…)</t>
  </si>
  <si>
    <t xml:space="preserve">Kẹp tiếp địa </t>
  </si>
  <si>
    <t xml:space="preserve">Lá tiếp địa </t>
  </si>
  <si>
    <t>TOTAL COST (VNĐ)</t>
  </si>
  <si>
    <t>Inverter Solis 5KW PRO, Hybrid 1 pha, 2 chuỗi MPPT cho hiệu suất cao 96.9% (Tiêu chuẩn EU 96.5%)
Top 3 thế giới về thương hiệu Inverter
Cấp độ bảo vệ: IP66
Công suất DC max: 10kWp
Đã bao gồm Metter và CT chống phát ngược lưới</t>
  </si>
  <si>
    <t>Solis</t>
  </si>
  <si>
    <r>
      <rPr>
        <b/>
        <sz val="11"/>
        <color theme="1" tint="0.14999847407452621"/>
        <rFont val="Barlow Condensed"/>
      </rPr>
      <t>Pin Lithium EASYWAY 51,2V-100Ah-5,2kWh</t>
    </r>
    <r>
      <rPr>
        <sz val="11"/>
        <color theme="1" tint="0.14999847407452621"/>
        <rFont val="Barlow Condensed"/>
      </rPr>
      <t xml:space="preserve">
Cell Pin từ hãng Gotion - Top 3 thế giới về thương hiệu Cell Pin
Bản tiêu chuẩn - màu trắng - Rack IP20
Bảo hành 5 năm</t>
    </r>
  </si>
  <si>
    <t>EASYWAY</t>
  </si>
  <si>
    <t>Dây từ 35, nối Pin Lithium lên Inverter đã bấm sẵn đầu cốt</t>
  </si>
  <si>
    <t>Dây mạng tín hiệu giao tiếp Inverter - Pin</t>
  </si>
  <si>
    <t>5/4</t>
  </si>
  <si>
    <t>Thanh full rail nhôm cao cấp 4,2m</t>
  </si>
  <si>
    <t>PN Tech/ Leader</t>
  </si>
  <si>
    <t>Dây điện AC 1 pha 2 lõi đồng cao cấp CVV 2x6/2x10mm</t>
  </si>
  <si>
    <t>Cadivi/Trần Phú
Tương đương</t>
  </si>
  <si>
    <t>Dây mạng tín hiệu đo tải tiêu thụ. Từ CT+Metter đến Inverter.
Chống phát ngược lên lưới</t>
  </si>
  <si>
    <t>Tủ điện hệ NLMT Hybrid 10kW 1 pha - 2 strings đi theo Inverter đầy đủ ATS của hệ:
+ Vỏ tủ sắt chuyên dụng - Sơn tĩnh điện. Kích thước 40x60x20cm
+ ATS 4P-63A: Thương hiệu Aisikai Nhật Bản
+ At AC 2P 63A; At AC 2P 32A: LS Hàn Quốc
+ At DC-1000V 2 strings: Vaneims
+ Chống sét AC- SPC lưới lan truyền: Suntree</t>
  </si>
  <si>
    <t>2 Năm</t>
  </si>
  <si>
    <t xml:space="preserve">Cáp tiếp địa PVC/Cu loại 1x4mm2 </t>
  </si>
  <si>
    <t>Cadivi/Nival</t>
  </si>
  <si>
    <t>Cọc đồng Tiếp Địa 1 mét</t>
  </si>
  <si>
    <t>Nhân công lắp đặt + Vận chuyển + Kiểm định vận hành</t>
  </si>
  <si>
    <t>TỔNG CỘNG GIÁ TRỊ TRỌN GÓI VẬT TƯ THIẾT BỊ - VẬN CHUYỂN - LẮP ĐẶT - BẢO HÀNH</t>
  </si>
  <si>
    <t>TrinaSolar</t>
    <phoneticPr fontId="16" type="noConversion"/>
  </si>
  <si>
    <r>
      <t>T</t>
    </r>
    <r>
      <rPr>
        <sz val="11"/>
        <color theme="1" tint="0.14999847407452621"/>
        <rFont val="Calibri"/>
        <family val="2"/>
        <charset val="163"/>
      </rPr>
      <t>ấ</t>
    </r>
    <r>
      <rPr>
        <sz val="11"/>
        <color theme="1" tint="0.14999847407452621"/>
        <rFont val="Barlow Condensed"/>
      </rPr>
      <t>m Pin m</t>
    </r>
    <r>
      <rPr>
        <sz val="11"/>
        <color theme="1" tint="0.14999847407452621"/>
        <rFont val="Calibri"/>
        <family val="2"/>
        <charset val="163"/>
      </rPr>
      <t>ặ</t>
    </r>
    <r>
      <rPr>
        <sz val="11"/>
        <color theme="1" tint="0.14999847407452621"/>
        <rFont val="Barlow Condensed"/>
      </rPr>
      <t>t tr</t>
    </r>
    <r>
      <rPr>
        <sz val="11"/>
        <color theme="1" tint="0.14999847407452621"/>
        <rFont val="Calibri"/>
        <family val="2"/>
        <charset val="163"/>
      </rPr>
      <t>ờ</t>
    </r>
    <r>
      <rPr>
        <sz val="11"/>
        <color theme="1" tint="0.14999847407452621"/>
        <rFont val="Barlow Condensed"/>
      </rPr>
      <t>i Trina</t>
    </r>
    <r>
      <rPr>
        <sz val="11"/>
        <color theme="1" tint="0.14999847407452621"/>
        <rFont val="Calibri"/>
        <family val="2"/>
      </rPr>
      <t xml:space="preserve"> Vertex</t>
    </r>
    <r>
      <rPr>
        <sz val="11"/>
        <color theme="1" tint="0.14999847407452621"/>
        <rFont val="Barlow Condensed"/>
        <family val="2"/>
      </rPr>
      <t xml:space="preserve"> TSM-NEG19RC.20</t>
    </r>
    <r>
      <rPr>
        <sz val="11"/>
        <color theme="1" tint="0.14999847407452621"/>
        <rFont val="Calibri"/>
        <family val="2"/>
      </rPr>
      <t xml:space="preserve"> - Công suất </t>
    </r>
    <r>
      <rPr>
        <sz val="11"/>
        <color theme="1" tint="0.14999847407452621"/>
        <rFont val="Barlow Condensed"/>
        <family val="2"/>
      </rPr>
      <t xml:space="preserve">620Wp All New
</t>
    </r>
    <r>
      <rPr>
        <sz val="11"/>
        <color theme="1" tint="0.14999847407452621"/>
        <rFont val="Barlow Condensed"/>
      </rPr>
      <t>Công</t>
    </r>
    <r>
      <rPr>
        <sz val="11"/>
        <color theme="1" tint="0.14999847407452621"/>
        <rFont val="Calibri"/>
        <family val="2"/>
      </rPr>
      <t xml:space="preserve"> nghệ mới nhất: N-Type i-TopCon</t>
    </r>
    <r>
      <rPr>
        <sz val="11"/>
        <color theme="1" tint="0.14999847407452621"/>
        <rFont val="Barlow Condensed"/>
      </rPr>
      <t xml:space="preserve">
Top 1 th</t>
    </r>
    <r>
      <rPr>
        <sz val="11"/>
        <color theme="1" tint="0.14999847407452621"/>
        <rFont val="Calibri"/>
        <family val="2"/>
        <charset val="163"/>
      </rPr>
      <t>ế</t>
    </r>
    <r>
      <rPr>
        <sz val="11"/>
        <color theme="1" tint="0.14999847407452621"/>
        <rFont val="Barlow Condensed"/>
      </rPr>
      <t xml:space="preserve"> gi</t>
    </r>
    <r>
      <rPr>
        <sz val="11"/>
        <color theme="1" tint="0.14999847407452621"/>
        <rFont val="Calibri"/>
        <family val="2"/>
        <charset val="163"/>
      </rPr>
      <t>ớ</t>
    </r>
    <r>
      <rPr>
        <sz val="11"/>
        <color theme="1" tint="0.14999847407452621"/>
        <rFont val="Barlow Condensed"/>
      </rPr>
      <t>i v</t>
    </r>
    <r>
      <rPr>
        <sz val="11"/>
        <color theme="1" tint="0.14999847407452621"/>
        <rFont val="Calibri"/>
        <family val="2"/>
        <charset val="163"/>
      </rPr>
      <t>ề</t>
    </r>
    <r>
      <rPr>
        <sz val="11"/>
        <color theme="1" tint="0.14999847407452621"/>
        <rFont val="Barlow Condensed"/>
      </rPr>
      <t xml:space="preserve"> hi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>u su</t>
    </r>
    <r>
      <rPr>
        <sz val="11"/>
        <color theme="1" tint="0.14999847407452621"/>
        <rFont val="Calibri"/>
        <family val="2"/>
        <charset val="163"/>
      </rPr>
      <t>ấ</t>
    </r>
    <r>
      <rPr>
        <sz val="11"/>
        <color theme="1" tint="0.14999847407452621"/>
        <rFont val="Barlow Condensed"/>
      </rPr>
      <t>t và th</t>
    </r>
    <r>
      <rPr>
        <sz val="11"/>
        <color theme="1" tint="0.14999847407452621"/>
        <rFont val="Segoe UI"/>
        <family val="2"/>
      </rPr>
      <t>ươ</t>
    </r>
    <r>
      <rPr>
        <sz val="11"/>
        <color theme="1" tint="0.14999847407452621"/>
        <rFont val="Barlow Condensed"/>
      </rPr>
      <t>ng hi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 xml:space="preserve">u
</t>
    </r>
    <r>
      <rPr>
        <sz val="11"/>
        <color theme="1" tint="0.14999847407452621"/>
        <rFont val="Calibri"/>
        <family val="2"/>
      </rPr>
      <t xml:space="preserve">Tấm pin 2 mặt kính. </t>
    </r>
    <r>
      <rPr>
        <sz val="11"/>
        <color theme="1" tint="0.14999847407452621"/>
        <rFont val="Barlow Condensed"/>
      </rPr>
      <t>Hi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>u su</t>
    </r>
    <r>
      <rPr>
        <sz val="11"/>
        <color theme="1" tint="0.14999847407452621"/>
        <rFont val="Calibri"/>
        <family val="2"/>
        <charset val="163"/>
      </rPr>
      <t>ấ</t>
    </r>
    <r>
      <rPr>
        <sz val="11"/>
        <color theme="1" tint="0.14999847407452621"/>
        <rFont val="Barlow Condensed"/>
      </rPr>
      <t>t 30 n</t>
    </r>
    <r>
      <rPr>
        <sz val="11"/>
        <color theme="1" tint="0.14999847407452621"/>
        <rFont val="Segoe UI"/>
        <family val="2"/>
      </rPr>
      <t>ă</t>
    </r>
    <r>
      <rPr>
        <sz val="11"/>
        <color theme="1" tint="0.14999847407452621"/>
        <rFont val="Barlow Condensed"/>
      </rPr>
      <t xml:space="preserve">m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Calibri"/>
        <family val="2"/>
        <charset val="163"/>
      </rPr>
      <t>ạ</t>
    </r>
    <r>
      <rPr>
        <sz val="11"/>
        <color theme="1" tint="0.14999847407452621"/>
        <rFont val="Barlow Condensed"/>
      </rPr>
      <t>t trên 87</t>
    </r>
    <r>
      <rPr>
        <sz val="11"/>
        <color theme="1" tint="0.14999847407452621"/>
        <rFont val="Calibri"/>
        <family val="2"/>
      </rPr>
      <t>.4</t>
    </r>
    <r>
      <rPr>
        <sz val="11"/>
        <color theme="1" tint="0.14999847407452621"/>
        <rFont val="Barlow Condensed"/>
      </rPr>
      <t>%</t>
    </r>
    <phoneticPr fontId="16" type="noConversion"/>
  </si>
  <si>
    <r>
      <t xml:space="preserve">COST
</t>
    </r>
    <r>
      <rPr>
        <b/>
        <sz val="11"/>
        <color theme="1" tint="0.14999847407452621"/>
        <rFont val="Calibri"/>
        <family val="2"/>
      </rPr>
      <t>(excluding VAT)</t>
    </r>
    <phoneticPr fontId="16" type="noConversion"/>
  </si>
  <si>
    <r>
      <t xml:space="preserve">TOTAL COST
</t>
    </r>
    <r>
      <rPr>
        <b/>
        <sz val="11"/>
        <color theme="1" tint="0.14999847407452621"/>
        <rFont val="Calibri"/>
        <family val="2"/>
      </rPr>
      <t>(excluding VAT)</t>
    </r>
    <phoneticPr fontId="16" type="noConversion"/>
  </si>
  <si>
    <r>
      <t xml:space="preserve">Price
</t>
    </r>
    <r>
      <rPr>
        <b/>
        <sz val="11"/>
        <color theme="1" tint="0.14999847407452621"/>
        <rFont val="Calibri"/>
        <family val="2"/>
      </rPr>
      <t>(excluding VAT)</t>
    </r>
    <phoneticPr fontId="16" type="noConversion"/>
  </si>
  <si>
    <t>Total Price
(excluding VAT)</t>
    <phoneticPr fontId="16" type="noConversion"/>
  </si>
  <si>
    <t>Total Price
(Including VAT)</t>
  </si>
  <si>
    <t>Warranty</t>
    <phoneticPr fontId="16" type="noConversion"/>
  </si>
  <si>
    <t>Quatity</t>
    <phoneticPr fontId="16" type="noConversion"/>
  </si>
  <si>
    <t>Unit</t>
    <phoneticPr fontId="16" type="noConversion"/>
  </si>
  <si>
    <t>Brand Name</t>
    <phoneticPr fontId="16" type="noConversion"/>
  </si>
  <si>
    <t>Category</t>
    <phoneticPr fontId="16" type="noConversion"/>
  </si>
  <si>
    <t>No.</t>
    <phoneticPr fontId="16" type="noConversion"/>
  </si>
  <si>
    <r>
      <t>Gross</t>
    </r>
    <r>
      <rPr>
        <b/>
        <sz val="11"/>
        <color theme="1" tint="0.14999847407452621"/>
        <rFont val="Calibri"/>
        <family val="2"/>
      </rPr>
      <t xml:space="preserve"> </t>
    </r>
    <r>
      <rPr>
        <b/>
        <sz val="11"/>
        <color theme="1" tint="0.14999847407452621"/>
        <rFont val="Barlow Condensed"/>
      </rPr>
      <t>M</t>
    </r>
    <r>
      <rPr>
        <b/>
        <sz val="11"/>
        <color theme="1" tint="0.14999847407452621"/>
        <rFont val="Calibri"/>
        <family val="2"/>
      </rPr>
      <t>argin for Small EPC</t>
    </r>
    <phoneticPr fontId="16" type="noConversion"/>
  </si>
  <si>
    <t>5-5-4</t>
  </si>
  <si>
    <t>Dây mạng tín hiệu đo tải tiêu thụ. Từ CT+Metter đến Inverter. Chống phát ngược lên lưới</t>
  </si>
  <si>
    <r>
      <t>Unit</t>
    </r>
    <r>
      <rPr>
        <b/>
        <sz val="11"/>
        <color theme="1" tint="0.14999847407452621"/>
        <rFont val="Calibri"/>
        <family val="2"/>
      </rPr>
      <t xml:space="preserve"> </t>
    </r>
    <r>
      <rPr>
        <b/>
        <sz val="11"/>
        <color theme="1" tint="0.14999847407452621"/>
        <rFont val="Barlow Condensed"/>
      </rPr>
      <t xml:space="preserve">Price
</t>
    </r>
    <r>
      <rPr>
        <b/>
        <sz val="11"/>
        <color theme="1" tint="0.14999847407452621"/>
        <rFont val="Barlow Condensed"/>
        <family val="2"/>
      </rPr>
      <t>(excluding VAT)</t>
    </r>
    <phoneticPr fontId="16" type="noConversion"/>
  </si>
  <si>
    <t>Unit Price
(Including VAT)</t>
    <phoneticPr fontId="16" type="noConversion"/>
  </si>
  <si>
    <t>Specification</t>
    <phoneticPr fontId="16" type="noConversion"/>
  </si>
  <si>
    <r>
      <t>Total</t>
    </r>
    <r>
      <rPr>
        <b/>
        <sz val="11"/>
        <color theme="1" tint="0.14999847407452621"/>
        <rFont val="Calibri"/>
        <family val="2"/>
      </rPr>
      <t xml:space="preserve"> (Excluding VAT)</t>
    </r>
    <phoneticPr fontId="16" type="noConversion"/>
  </si>
  <si>
    <r>
      <t>Total</t>
    </r>
    <r>
      <rPr>
        <b/>
        <sz val="11"/>
        <color theme="1" tint="0.14999847407452621"/>
        <rFont val="Calibri"/>
        <family val="2"/>
      </rPr>
      <t xml:space="preserve"> (Including VAT)</t>
    </r>
    <phoneticPr fontId="16" type="noConversion"/>
  </si>
  <si>
    <r>
      <t>Unit Price</t>
    </r>
    <r>
      <rPr>
        <b/>
        <sz val="11"/>
        <color theme="1" tint="0.14999847407452621"/>
        <rFont val="Calibri"/>
        <family val="2"/>
      </rPr>
      <t xml:space="preserve"> - checked</t>
    </r>
    <r>
      <rPr>
        <b/>
        <sz val="11"/>
        <color theme="1" tint="0.14999847407452621"/>
        <rFont val="Barlow Condensed"/>
      </rPr>
      <t xml:space="preserve">
(Including VAT)</t>
    </r>
    <phoneticPr fontId="16" type="noConversion"/>
  </si>
  <si>
    <r>
      <t>5-5-4</t>
    </r>
    <r>
      <rPr>
        <b/>
        <sz val="16"/>
        <color rgb="FF000000"/>
        <rFont val="Calibri"/>
        <family val="2"/>
      </rPr>
      <t>-4</t>
    </r>
    <phoneticPr fontId="16" type="noConversion"/>
  </si>
  <si>
    <t>Inverter S6-EH1P8K-L-PRO, Hybrid 1 pha, 2 chuỗi MPPT cho hiệu suất cao 96.9% (Tiêu chuẩn EU 96.5%)
Top 3 thế giới về thương hiệu Inverter
Đã bao gồm Metter và CT chống phát ngược lưới</t>
  </si>
  <si>
    <r>
      <rPr>
        <b/>
        <sz val="11"/>
        <color theme="1" tint="0.14999847407452621"/>
        <rFont val="Barlow Condensed"/>
      </rPr>
      <t>Pin Lithium EASYWAY 51,2V-280Ah. Lưu trữ 14.3kWh</t>
    </r>
    <r>
      <rPr>
        <sz val="11"/>
        <color theme="1" tint="0.14999847407452621"/>
        <rFont val="Barlow Condensed"/>
      </rPr>
      <t xml:space="preserve">
Cell Pin từ hãng GreatPower - Top 10 thế giới về thương hiệu Cell Pin
Bản cao cấp màu trắng - có bánh xe
Cấp bảo vệ: IP54 chống nước chống bụi cao</t>
    </r>
  </si>
  <si>
    <r>
      <t>Inverter S6-EH3P10K2</t>
    </r>
    <r>
      <rPr>
        <sz val="11"/>
        <color theme="1" tint="0.14999847407452621"/>
        <rFont val="Calibri"/>
        <family val="2"/>
      </rPr>
      <t xml:space="preserve"> - NV-YD-L</t>
    </r>
    <r>
      <rPr>
        <sz val="11"/>
        <color theme="1" tint="0.14999847407452621"/>
        <rFont val="Barlow Condensed"/>
      </rPr>
      <t>, Hybrid 3 pha</t>
    </r>
    <r>
      <rPr>
        <sz val="11"/>
        <color theme="1" tint="0.14999847407452621"/>
        <rFont val="Calibri"/>
        <family val="2"/>
      </rPr>
      <t xml:space="preserve"> áp thấp</t>
    </r>
    <r>
      <rPr>
        <sz val="11"/>
        <color theme="1" tint="0.14999847407452621"/>
        <rFont val="Barlow Condensed"/>
      </rPr>
      <t>, 2 MPPT</t>
    </r>
    <r>
      <rPr>
        <sz val="11"/>
        <color theme="1" tint="0.14999847407452621"/>
        <rFont val="Calibri"/>
        <family val="2"/>
      </rPr>
      <t>/ 3 String</t>
    </r>
    <r>
      <rPr>
        <sz val="11"/>
        <color theme="1" tint="0.14999847407452621"/>
        <rFont val="Barlow Condensed"/>
      </rPr>
      <t xml:space="preserve"> cho hi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>u su</t>
    </r>
    <r>
      <rPr>
        <sz val="11"/>
        <color theme="1" tint="0.14999847407452621"/>
        <rFont val="Calibri"/>
        <family val="2"/>
      </rPr>
      <t>ấ</t>
    </r>
    <r>
      <rPr>
        <sz val="11"/>
        <color theme="1" tint="0.14999847407452621"/>
        <rFont val="Barlow Condensed"/>
      </rPr>
      <t>t cao 97.6% (Tiêu chu</t>
    </r>
    <r>
      <rPr>
        <sz val="11"/>
        <color theme="1" tint="0.14999847407452621"/>
        <rFont val="Calibri"/>
        <family val="2"/>
      </rPr>
      <t>ẩ</t>
    </r>
    <r>
      <rPr>
        <sz val="11"/>
        <color theme="1" tint="0.14999847407452621"/>
        <rFont val="Barlow Condensed"/>
      </rPr>
      <t>n EU 97%)
Top 3 th</t>
    </r>
    <r>
      <rPr>
        <sz val="11"/>
        <color theme="1" tint="0.14999847407452621"/>
        <rFont val="Calibri"/>
        <family val="2"/>
      </rPr>
      <t>ế</t>
    </r>
    <r>
      <rPr>
        <sz val="11"/>
        <color theme="1" tint="0.14999847407452621"/>
        <rFont val="Barlow Condensed"/>
      </rPr>
      <t xml:space="preserve"> gi</t>
    </r>
    <r>
      <rPr>
        <sz val="11"/>
        <color theme="1" tint="0.14999847407452621"/>
        <rFont val="Calibri"/>
        <family val="2"/>
      </rPr>
      <t>ớ</t>
    </r>
    <r>
      <rPr>
        <sz val="11"/>
        <color theme="1" tint="0.14999847407452621"/>
        <rFont val="Barlow Condensed"/>
      </rPr>
      <t>i v</t>
    </r>
    <r>
      <rPr>
        <sz val="11"/>
        <color theme="1" tint="0.14999847407452621"/>
        <rFont val="Calibri"/>
        <family val="2"/>
      </rPr>
      <t>ề</t>
    </r>
    <r>
      <rPr>
        <sz val="11"/>
        <color theme="1" tint="0.14999847407452621"/>
        <rFont val="Barlow Condensed"/>
      </rPr>
      <t xml:space="preserve"> th</t>
    </r>
    <r>
      <rPr>
        <sz val="11"/>
        <color theme="1" tint="0.14999847407452621"/>
        <rFont val="Segoe UI"/>
        <family val="2"/>
      </rPr>
      <t>ươ</t>
    </r>
    <r>
      <rPr>
        <sz val="11"/>
        <color theme="1" tint="0.14999847407452621"/>
        <rFont val="Barlow Condensed"/>
      </rPr>
      <t>ng hi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 xml:space="preserve">u Inverter
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ã bao g</t>
    </r>
    <r>
      <rPr>
        <sz val="11"/>
        <color theme="1" tint="0.14999847407452621"/>
        <rFont val="Calibri"/>
        <family val="2"/>
      </rPr>
      <t>ồ</t>
    </r>
    <r>
      <rPr>
        <sz val="11"/>
        <color theme="1" tint="0.14999847407452621"/>
        <rFont val="Barlow Condensed"/>
      </rPr>
      <t>m Metter và CT ch</t>
    </r>
    <r>
      <rPr>
        <sz val="11"/>
        <color theme="1" tint="0.14999847407452621"/>
        <rFont val="Calibri"/>
        <family val="2"/>
      </rPr>
      <t>ố</t>
    </r>
    <r>
      <rPr>
        <sz val="11"/>
        <color theme="1" tint="0.14999847407452621"/>
        <rFont val="Barlow Condensed"/>
      </rPr>
      <t>ng phát ng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</rPr>
      <t>ợ</t>
    </r>
    <r>
      <rPr>
        <sz val="11"/>
        <color theme="1" tint="0.14999847407452621"/>
        <rFont val="Barlow Condensed"/>
      </rPr>
      <t>c l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</rPr>
      <t>ớ</t>
    </r>
    <r>
      <rPr>
        <sz val="11"/>
        <color theme="1" tint="0.14999847407452621"/>
        <rFont val="Barlow Condensed"/>
      </rPr>
      <t>i</t>
    </r>
    <phoneticPr fontId="16" type="noConversion"/>
  </si>
  <si>
    <r>
      <t>5-5-5</t>
    </r>
    <r>
      <rPr>
        <b/>
        <sz val="16"/>
        <color rgb="FF000000"/>
        <rFont val="Calibri"/>
        <family val="2"/>
      </rPr>
      <t>-5-4</t>
    </r>
    <phoneticPr fontId="16" type="noConversion"/>
  </si>
  <si>
    <t>Dây điện AC 3 pha 4 lõi đồng cao cấp CVV 4x10 mm</t>
  </si>
  <si>
    <t xml:space="preserve">Cadisun/Trần Phú
Tương đương </t>
  </si>
  <si>
    <r>
      <t>6</t>
    </r>
    <r>
      <rPr>
        <b/>
        <sz val="16"/>
        <color rgb="FF000000"/>
        <rFont val="Calibri"/>
        <family val="2"/>
      </rPr>
      <t>-6-5-5-5</t>
    </r>
    <phoneticPr fontId="16" type="noConversion"/>
  </si>
  <si>
    <r>
      <t>T</t>
    </r>
    <r>
      <rPr>
        <sz val="11"/>
        <color theme="1" tint="0.14999847407452621"/>
        <rFont val="Calibri"/>
        <family val="2"/>
      </rPr>
      <t>ủ</t>
    </r>
    <r>
      <rPr>
        <sz val="11"/>
        <color theme="1" tint="0.14999847407452621"/>
        <rFont val="Barlow Condensed"/>
      </rPr>
      <t xml:space="preserve">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>n h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 xml:space="preserve"> NLMT Hybrid 15kW 1 pha - 2 strings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 xml:space="preserve">i theo Inverter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Calibri"/>
        <family val="2"/>
      </rPr>
      <t>ầ</t>
    </r>
    <r>
      <rPr>
        <sz val="11"/>
        <color theme="1" tint="0.14999847407452621"/>
        <rFont val="Barlow Condensed"/>
      </rPr>
      <t xml:space="preserve">y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Calibri"/>
        <family val="2"/>
      </rPr>
      <t>ủ</t>
    </r>
    <r>
      <rPr>
        <sz val="11"/>
        <color theme="1" tint="0.14999847407452621"/>
        <rFont val="Barlow Condensed"/>
      </rPr>
      <t xml:space="preserve"> ATS c</t>
    </r>
    <r>
      <rPr>
        <sz val="11"/>
        <color theme="1" tint="0.14999847407452621"/>
        <rFont val="Calibri"/>
        <family val="2"/>
      </rPr>
      <t>ủ</t>
    </r>
    <r>
      <rPr>
        <sz val="11"/>
        <color theme="1" tint="0.14999847407452621"/>
        <rFont val="Barlow Condensed"/>
      </rPr>
      <t>a h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>:
+ V</t>
    </r>
    <r>
      <rPr>
        <sz val="11"/>
        <color theme="1" tint="0.14999847407452621"/>
        <rFont val="Calibri"/>
        <family val="2"/>
      </rPr>
      <t>ỏ</t>
    </r>
    <r>
      <rPr>
        <sz val="11"/>
        <color theme="1" tint="0.14999847407452621"/>
        <rFont val="Barlow Condensed"/>
      </rPr>
      <t xml:space="preserve"> t</t>
    </r>
    <r>
      <rPr>
        <sz val="11"/>
        <color theme="1" tint="0.14999847407452621"/>
        <rFont val="Calibri"/>
        <family val="2"/>
      </rPr>
      <t>ủ</t>
    </r>
    <r>
      <rPr>
        <sz val="11"/>
        <color theme="1" tint="0.14999847407452621"/>
        <rFont val="Barlow Condensed"/>
      </rPr>
      <t xml:space="preserve"> s</t>
    </r>
    <r>
      <rPr>
        <sz val="11"/>
        <color theme="1" tint="0.14999847407452621"/>
        <rFont val="Calibri"/>
        <family val="2"/>
      </rPr>
      <t>ắ</t>
    </r>
    <r>
      <rPr>
        <sz val="11"/>
        <color theme="1" tint="0.14999847407452621"/>
        <rFont val="Barlow Condensed"/>
      </rPr>
      <t>t chuyên d</t>
    </r>
    <r>
      <rPr>
        <sz val="11"/>
        <color theme="1" tint="0.14999847407452621"/>
        <rFont val="Calibri"/>
        <family val="2"/>
      </rPr>
      <t>ụ</t>
    </r>
    <r>
      <rPr>
        <sz val="11"/>
        <color theme="1" tint="0.14999847407452621"/>
        <rFont val="Barlow Condensed"/>
      </rPr>
      <t>ng - S</t>
    </r>
    <r>
      <rPr>
        <sz val="11"/>
        <color theme="1" tint="0.14999847407452621"/>
        <rFont val="Segoe UI"/>
        <family val="2"/>
      </rPr>
      <t>ơ</t>
    </r>
    <r>
      <rPr>
        <sz val="11"/>
        <color theme="1" tint="0.14999847407452621"/>
        <rFont val="Barlow Condensed"/>
      </rPr>
      <t>n t</t>
    </r>
    <r>
      <rPr>
        <sz val="11"/>
        <color theme="1" tint="0.14999847407452621"/>
        <rFont val="Segoe UI"/>
        <family val="2"/>
      </rPr>
      <t>ĩ</t>
    </r>
    <r>
      <rPr>
        <sz val="11"/>
        <color theme="1" tint="0.14999847407452621"/>
        <rFont val="Barlow Condensed"/>
      </rPr>
      <t xml:space="preserve">nh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>n. Kích th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</rPr>
      <t>ớ</t>
    </r>
    <r>
      <rPr>
        <sz val="11"/>
        <color theme="1" tint="0.14999847407452621"/>
        <rFont val="Barlow Condensed"/>
      </rPr>
      <t>c 40x60x20cm
+ ATS 4P-63A: Th</t>
    </r>
    <r>
      <rPr>
        <sz val="11"/>
        <color theme="1" tint="0.14999847407452621"/>
        <rFont val="Segoe UI"/>
        <family val="2"/>
      </rPr>
      <t>ươ</t>
    </r>
    <r>
      <rPr>
        <sz val="11"/>
        <color theme="1" tint="0.14999847407452621"/>
        <rFont val="Barlow Condensed"/>
      </rPr>
      <t>ng hi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>u Aisikai Nh</t>
    </r>
    <r>
      <rPr>
        <sz val="11"/>
        <color theme="1" tint="0.14999847407452621"/>
        <rFont val="Calibri"/>
        <family val="2"/>
      </rPr>
      <t>ậ</t>
    </r>
    <r>
      <rPr>
        <sz val="11"/>
        <color theme="1" tint="0.14999847407452621"/>
        <rFont val="Barlow Condensed"/>
      </rPr>
      <t>t B</t>
    </r>
    <r>
      <rPr>
        <sz val="11"/>
        <color theme="1" tint="0.14999847407452621"/>
        <rFont val="Calibri"/>
        <family val="2"/>
      </rPr>
      <t>ả</t>
    </r>
    <r>
      <rPr>
        <sz val="11"/>
        <color theme="1" tint="0.14999847407452621"/>
        <rFont val="Barlow Condensed"/>
      </rPr>
      <t>n
+ At AC 2P 63A; At AC 2P 32A: LS Hàn Qu</t>
    </r>
    <r>
      <rPr>
        <sz val="11"/>
        <color theme="1" tint="0.14999847407452621"/>
        <rFont val="Calibri"/>
        <family val="2"/>
      </rPr>
      <t>ố</t>
    </r>
    <r>
      <rPr>
        <sz val="11"/>
        <color theme="1" tint="0.14999847407452621"/>
        <rFont val="Barlow Condensed"/>
      </rPr>
      <t>c
+ At DC-1000V 2 strings: Vaneims
+ Ch</t>
    </r>
    <r>
      <rPr>
        <sz val="11"/>
        <color theme="1" tint="0.14999847407452621"/>
        <rFont val="Calibri"/>
        <family val="2"/>
      </rPr>
      <t>ố</t>
    </r>
    <r>
      <rPr>
        <sz val="11"/>
        <color theme="1" tint="0.14999847407452621"/>
        <rFont val="Barlow Condensed"/>
      </rPr>
      <t>ng sét AC- SPC l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</rPr>
      <t>ớ</t>
    </r>
    <r>
      <rPr>
        <sz val="11"/>
        <color theme="1" tint="0.14999847407452621"/>
        <rFont val="Barlow Condensed"/>
      </rPr>
      <t>i lan truy</t>
    </r>
    <r>
      <rPr>
        <sz val="11"/>
        <color theme="1" tint="0.14999847407452621"/>
        <rFont val="Calibri"/>
        <family val="2"/>
      </rPr>
      <t>ề</t>
    </r>
    <r>
      <rPr>
        <sz val="11"/>
        <color theme="1" tint="0.14999847407452621"/>
        <rFont val="Barlow Condensed"/>
      </rPr>
      <t>n: Suntree</t>
    </r>
    <phoneticPr fontId="16" type="noConversion"/>
  </si>
  <si>
    <t>Inverter Solis-10K Hybrid 3 pha áp cao, 4 MPPTx4 Strings cho hiệu suất cao. MAX DC 20kW
Hiệu suất: 97.9% (Tiêu chuẩn EU 97.5%)
IP 65 chống nước chống bụi
Giảm hao phí điện năng tối đa</t>
  </si>
  <si>
    <r>
      <rPr>
        <b/>
        <sz val="11"/>
        <color theme="1" tint="0.14999847407452621"/>
        <rFont val="Barlow Condensed"/>
      </rPr>
      <t>Pin Lithium áp cao EasyWay 50V-100Ah-5kWh</t>
    </r>
    <r>
      <rPr>
        <sz val="11"/>
        <color theme="1" tint="0.14999847407452621"/>
        <rFont val="Barlow Condensed"/>
      </rPr>
      <t xml:space="preserve">
Thiết kế dạng xếp chồng không dây tinh tế sang trọng
Dung lượng lưu trữ: 10kWh
Nâng cấp: Tối đa 5 Pack Pin lưu trữ 25kWh điện</t>
    </r>
  </si>
  <si>
    <t>EasyWay</t>
  </si>
  <si>
    <t>Bộ điều khiển Pin áp cao</t>
  </si>
  <si>
    <t>Đế đỡ Pin cao đồng bộ hệ</t>
  </si>
  <si>
    <t>Dây từ nối Pin Lithium lên Inverter đã bấm sẵn đầu cốt</t>
  </si>
  <si>
    <r>
      <t>T</t>
    </r>
    <r>
      <rPr>
        <sz val="11"/>
        <color theme="1" tint="0.14999847407452621"/>
        <rFont val="Calibri"/>
        <family val="2"/>
        <charset val="163"/>
      </rPr>
      <t>ủ</t>
    </r>
    <r>
      <rPr>
        <sz val="11"/>
        <color theme="1" tint="0.14999847407452621"/>
        <rFont val="Barlow Condensed"/>
      </rPr>
      <t xml:space="preserve">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>n h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 xml:space="preserve"> NLMT Hybrid 20kW 3 pha - 3 strings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 xml:space="preserve">i theo Inverter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Calibri"/>
        <family val="2"/>
        <charset val="163"/>
      </rPr>
      <t>ầ</t>
    </r>
    <r>
      <rPr>
        <sz val="11"/>
        <color theme="1" tint="0.14999847407452621"/>
        <rFont val="Barlow Condensed"/>
      </rPr>
      <t xml:space="preserve">y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Calibri"/>
        <family val="2"/>
        <charset val="163"/>
      </rPr>
      <t>ủ</t>
    </r>
    <r>
      <rPr>
        <sz val="11"/>
        <color theme="1" tint="0.14999847407452621"/>
        <rFont val="Barlow Condensed"/>
      </rPr>
      <t xml:space="preserve"> ATS c</t>
    </r>
    <r>
      <rPr>
        <sz val="11"/>
        <color theme="1" tint="0.14999847407452621"/>
        <rFont val="Calibri"/>
        <family val="2"/>
        <charset val="163"/>
      </rPr>
      <t>ủ</t>
    </r>
    <r>
      <rPr>
        <sz val="11"/>
        <color theme="1" tint="0.14999847407452621"/>
        <rFont val="Barlow Condensed"/>
      </rPr>
      <t>a h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>:
+ V</t>
    </r>
    <r>
      <rPr>
        <sz val="11"/>
        <color theme="1" tint="0.14999847407452621"/>
        <rFont val="Calibri"/>
        <family val="2"/>
        <charset val="163"/>
      </rPr>
      <t>ỏ</t>
    </r>
    <r>
      <rPr>
        <sz val="11"/>
        <color theme="1" tint="0.14999847407452621"/>
        <rFont val="Barlow Condensed"/>
      </rPr>
      <t xml:space="preserve"> t</t>
    </r>
    <r>
      <rPr>
        <sz val="11"/>
        <color theme="1" tint="0.14999847407452621"/>
        <rFont val="Calibri"/>
        <family val="2"/>
        <charset val="163"/>
      </rPr>
      <t>ủ</t>
    </r>
    <r>
      <rPr>
        <sz val="11"/>
        <color theme="1" tint="0.14999847407452621"/>
        <rFont val="Barlow Condensed"/>
      </rPr>
      <t xml:space="preserve"> s</t>
    </r>
    <r>
      <rPr>
        <sz val="11"/>
        <color theme="1" tint="0.14999847407452621"/>
        <rFont val="Calibri"/>
        <family val="2"/>
        <charset val="163"/>
      </rPr>
      <t>ắ</t>
    </r>
    <r>
      <rPr>
        <sz val="11"/>
        <color theme="1" tint="0.14999847407452621"/>
        <rFont val="Barlow Condensed"/>
      </rPr>
      <t>t chuyên d</t>
    </r>
    <r>
      <rPr>
        <sz val="11"/>
        <color theme="1" tint="0.14999847407452621"/>
        <rFont val="Calibri"/>
        <family val="2"/>
        <charset val="163"/>
      </rPr>
      <t>ụ</t>
    </r>
    <r>
      <rPr>
        <sz val="11"/>
        <color theme="1" tint="0.14999847407452621"/>
        <rFont val="Barlow Condensed"/>
      </rPr>
      <t>ng - S</t>
    </r>
    <r>
      <rPr>
        <sz val="11"/>
        <color theme="1" tint="0.14999847407452621"/>
        <rFont val="Segoe UI"/>
        <family val="2"/>
      </rPr>
      <t>ơ</t>
    </r>
    <r>
      <rPr>
        <sz val="11"/>
        <color theme="1" tint="0.14999847407452621"/>
        <rFont val="Barlow Condensed"/>
      </rPr>
      <t>n t</t>
    </r>
    <r>
      <rPr>
        <sz val="11"/>
        <color theme="1" tint="0.14999847407452621"/>
        <rFont val="Segoe UI"/>
        <family val="2"/>
      </rPr>
      <t>ĩ</t>
    </r>
    <r>
      <rPr>
        <sz val="11"/>
        <color theme="1" tint="0.14999847407452621"/>
        <rFont val="Barlow Condensed"/>
      </rPr>
      <t xml:space="preserve">nh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>n. Kích th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  <charset val="163"/>
      </rPr>
      <t>ớ</t>
    </r>
    <r>
      <rPr>
        <sz val="11"/>
        <color theme="1" tint="0.14999847407452621"/>
        <rFont val="Barlow Condensed"/>
      </rPr>
      <t>c 40x60x20cm
+ ATS 4P-100A: Th</t>
    </r>
    <r>
      <rPr>
        <sz val="11"/>
        <color theme="1" tint="0.14999847407452621"/>
        <rFont val="Segoe UI"/>
        <family val="2"/>
      </rPr>
      <t>ươ</t>
    </r>
    <r>
      <rPr>
        <sz val="11"/>
        <color theme="1" tint="0.14999847407452621"/>
        <rFont val="Barlow Condensed"/>
      </rPr>
      <t>ng hi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>u Aisikai Nh</t>
    </r>
    <r>
      <rPr>
        <sz val="11"/>
        <color theme="1" tint="0.14999847407452621"/>
        <rFont val="Calibri"/>
        <family val="2"/>
        <charset val="163"/>
      </rPr>
      <t>ậ</t>
    </r>
    <r>
      <rPr>
        <sz val="11"/>
        <color theme="1" tint="0.14999847407452621"/>
        <rFont val="Barlow Condensed"/>
      </rPr>
      <t>t B</t>
    </r>
    <r>
      <rPr>
        <sz val="11"/>
        <color theme="1" tint="0.14999847407452621"/>
        <rFont val="Calibri"/>
        <family val="2"/>
        <charset val="163"/>
      </rPr>
      <t>ả</t>
    </r>
    <r>
      <rPr>
        <sz val="11"/>
        <color theme="1" tint="0.14999847407452621"/>
        <rFont val="Barlow Condensed"/>
      </rPr>
      <t>n
+ At AC 2P 63A; At AC 2P 32A: LS Hàn Qu</t>
    </r>
    <r>
      <rPr>
        <sz val="11"/>
        <color theme="1" tint="0.14999847407452621"/>
        <rFont val="Calibri"/>
        <family val="2"/>
        <charset val="163"/>
      </rPr>
      <t>ố</t>
    </r>
    <r>
      <rPr>
        <sz val="11"/>
        <color theme="1" tint="0.14999847407452621"/>
        <rFont val="Barlow Condensed"/>
      </rPr>
      <t>c
+ At DC-1000V 3 strings: Vaneims
+ Ch</t>
    </r>
    <r>
      <rPr>
        <sz val="11"/>
        <color theme="1" tint="0.14999847407452621"/>
        <rFont val="Calibri"/>
        <family val="2"/>
        <charset val="163"/>
      </rPr>
      <t>ố</t>
    </r>
    <r>
      <rPr>
        <sz val="11"/>
        <color theme="1" tint="0.14999847407452621"/>
        <rFont val="Barlow Condensed"/>
      </rPr>
      <t>ng sét AC- SPC l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  <charset val="163"/>
      </rPr>
      <t>ớ</t>
    </r>
    <r>
      <rPr>
        <sz val="11"/>
        <color theme="1" tint="0.14999847407452621"/>
        <rFont val="Barlow Condensed"/>
      </rPr>
      <t>i lan truy</t>
    </r>
    <r>
      <rPr>
        <sz val="11"/>
        <color theme="1" tint="0.14999847407452621"/>
        <rFont val="Calibri"/>
        <family val="2"/>
        <charset val="163"/>
      </rPr>
      <t>ề</t>
    </r>
    <r>
      <rPr>
        <sz val="11"/>
        <color theme="1" tint="0.14999847407452621"/>
        <rFont val="Barlow Condensed"/>
      </rPr>
      <t>n: Suntree</t>
    </r>
    <phoneticPr fontId="16" type="noConversion"/>
  </si>
  <si>
    <r>
      <t>T</t>
    </r>
    <r>
      <rPr>
        <sz val="11"/>
        <color theme="1" tint="0.14999847407452621"/>
        <rFont val="Calibri"/>
        <family val="2"/>
        <charset val="163"/>
      </rPr>
      <t>ủ</t>
    </r>
    <r>
      <rPr>
        <sz val="11"/>
        <color theme="1" tint="0.14999847407452621"/>
        <rFont val="Barlow Condensed"/>
      </rPr>
      <t xml:space="preserve">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>n h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 xml:space="preserve"> NLMT Hybrid 15kW 3 pha - 3 strings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 xml:space="preserve">i theo Inverter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Calibri"/>
        <family val="2"/>
        <charset val="163"/>
      </rPr>
      <t>ầ</t>
    </r>
    <r>
      <rPr>
        <sz val="11"/>
        <color theme="1" tint="0.14999847407452621"/>
        <rFont val="Barlow Condensed"/>
      </rPr>
      <t xml:space="preserve">y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Calibri"/>
        <family val="2"/>
        <charset val="163"/>
      </rPr>
      <t>ủ</t>
    </r>
    <r>
      <rPr>
        <sz val="11"/>
        <color theme="1" tint="0.14999847407452621"/>
        <rFont val="Barlow Condensed"/>
      </rPr>
      <t xml:space="preserve"> ATS c</t>
    </r>
    <r>
      <rPr>
        <sz val="11"/>
        <color theme="1" tint="0.14999847407452621"/>
        <rFont val="Calibri"/>
        <family val="2"/>
        <charset val="163"/>
      </rPr>
      <t>ủ</t>
    </r>
    <r>
      <rPr>
        <sz val="11"/>
        <color theme="1" tint="0.14999847407452621"/>
        <rFont val="Barlow Condensed"/>
      </rPr>
      <t>a h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>:
+ V</t>
    </r>
    <r>
      <rPr>
        <sz val="11"/>
        <color theme="1" tint="0.14999847407452621"/>
        <rFont val="Calibri"/>
        <family val="2"/>
        <charset val="163"/>
      </rPr>
      <t>ỏ</t>
    </r>
    <r>
      <rPr>
        <sz val="11"/>
        <color theme="1" tint="0.14999847407452621"/>
        <rFont val="Barlow Condensed"/>
      </rPr>
      <t xml:space="preserve"> t</t>
    </r>
    <r>
      <rPr>
        <sz val="11"/>
        <color theme="1" tint="0.14999847407452621"/>
        <rFont val="Calibri"/>
        <family val="2"/>
        <charset val="163"/>
      </rPr>
      <t>ủ</t>
    </r>
    <r>
      <rPr>
        <sz val="11"/>
        <color theme="1" tint="0.14999847407452621"/>
        <rFont val="Barlow Condensed"/>
      </rPr>
      <t xml:space="preserve"> s</t>
    </r>
    <r>
      <rPr>
        <sz val="11"/>
        <color theme="1" tint="0.14999847407452621"/>
        <rFont val="Calibri"/>
        <family val="2"/>
        <charset val="163"/>
      </rPr>
      <t>ắ</t>
    </r>
    <r>
      <rPr>
        <sz val="11"/>
        <color theme="1" tint="0.14999847407452621"/>
        <rFont val="Barlow Condensed"/>
      </rPr>
      <t>t chuyên d</t>
    </r>
    <r>
      <rPr>
        <sz val="11"/>
        <color theme="1" tint="0.14999847407452621"/>
        <rFont val="Calibri"/>
        <family val="2"/>
        <charset val="163"/>
      </rPr>
      <t>ụ</t>
    </r>
    <r>
      <rPr>
        <sz val="11"/>
        <color theme="1" tint="0.14999847407452621"/>
        <rFont val="Barlow Condensed"/>
      </rPr>
      <t>ng - S</t>
    </r>
    <r>
      <rPr>
        <sz val="11"/>
        <color theme="1" tint="0.14999847407452621"/>
        <rFont val="Segoe UI"/>
        <family val="2"/>
      </rPr>
      <t>ơ</t>
    </r>
    <r>
      <rPr>
        <sz val="11"/>
        <color theme="1" tint="0.14999847407452621"/>
        <rFont val="Barlow Condensed"/>
      </rPr>
      <t>n t</t>
    </r>
    <r>
      <rPr>
        <sz val="11"/>
        <color theme="1" tint="0.14999847407452621"/>
        <rFont val="Segoe UI"/>
        <family val="2"/>
      </rPr>
      <t>ĩ</t>
    </r>
    <r>
      <rPr>
        <sz val="11"/>
        <color theme="1" tint="0.14999847407452621"/>
        <rFont val="Barlow Condensed"/>
      </rPr>
      <t xml:space="preserve">nh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>n. Kích th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  <charset val="163"/>
      </rPr>
      <t>ớ</t>
    </r>
    <r>
      <rPr>
        <sz val="11"/>
        <color theme="1" tint="0.14999847407452621"/>
        <rFont val="Barlow Condensed"/>
      </rPr>
      <t>c 40x60x20cm
+ ATS 4P-100A: Th</t>
    </r>
    <r>
      <rPr>
        <sz val="11"/>
        <color theme="1" tint="0.14999847407452621"/>
        <rFont val="Segoe UI"/>
        <family val="2"/>
      </rPr>
      <t>ươ</t>
    </r>
    <r>
      <rPr>
        <sz val="11"/>
        <color theme="1" tint="0.14999847407452621"/>
        <rFont val="Barlow Condensed"/>
      </rPr>
      <t>ng hi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>u Aisikai Nh</t>
    </r>
    <r>
      <rPr>
        <sz val="11"/>
        <color theme="1" tint="0.14999847407452621"/>
        <rFont val="Calibri"/>
        <family val="2"/>
        <charset val="163"/>
      </rPr>
      <t>ậ</t>
    </r>
    <r>
      <rPr>
        <sz val="11"/>
        <color theme="1" tint="0.14999847407452621"/>
        <rFont val="Barlow Condensed"/>
      </rPr>
      <t>t B</t>
    </r>
    <r>
      <rPr>
        <sz val="11"/>
        <color theme="1" tint="0.14999847407452621"/>
        <rFont val="Calibri"/>
        <family val="2"/>
        <charset val="163"/>
      </rPr>
      <t>ả</t>
    </r>
    <r>
      <rPr>
        <sz val="11"/>
        <color theme="1" tint="0.14999847407452621"/>
        <rFont val="Barlow Condensed"/>
      </rPr>
      <t>n
+ At AC 2P 63A; At AC 2P 32A: LS Hàn Qu</t>
    </r>
    <r>
      <rPr>
        <sz val="11"/>
        <color theme="1" tint="0.14999847407452621"/>
        <rFont val="Calibri"/>
        <family val="2"/>
        <charset val="163"/>
      </rPr>
      <t>ố</t>
    </r>
    <r>
      <rPr>
        <sz val="11"/>
        <color theme="1" tint="0.14999847407452621"/>
        <rFont val="Barlow Condensed"/>
      </rPr>
      <t>c
+ At DC-1000V 3 strings: Vaneims
+ Ch</t>
    </r>
    <r>
      <rPr>
        <sz val="11"/>
        <color theme="1" tint="0.14999847407452621"/>
        <rFont val="Calibri"/>
        <family val="2"/>
        <charset val="163"/>
      </rPr>
      <t>ố</t>
    </r>
    <r>
      <rPr>
        <sz val="11"/>
        <color theme="1" tint="0.14999847407452621"/>
        <rFont val="Barlow Condensed"/>
      </rPr>
      <t>ng sét AC- SPC l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  <charset val="163"/>
      </rPr>
      <t>ớ</t>
    </r>
    <r>
      <rPr>
        <sz val="11"/>
        <color theme="1" tint="0.14999847407452621"/>
        <rFont val="Barlow Condensed"/>
      </rPr>
      <t>i lan truy</t>
    </r>
    <r>
      <rPr>
        <sz val="11"/>
        <color theme="1" tint="0.14999847407452621"/>
        <rFont val="Calibri"/>
        <family val="2"/>
        <charset val="163"/>
      </rPr>
      <t>ề</t>
    </r>
    <r>
      <rPr>
        <sz val="11"/>
        <color theme="1" tint="0.14999847407452621"/>
        <rFont val="Barlow Condensed"/>
      </rPr>
      <t>n: Suntree</t>
    </r>
    <phoneticPr fontId="16" type="noConversion"/>
  </si>
  <si>
    <t>Inverter Hòa lưới bám tải INVT_ XG5KTL-S, 5kW 1 pha. IP 66 chống bụi chống nước
Tản nhiệt nhôm cao cấp, chống ồn
Đầu vào Max DC: 7.5 kWp
Hiệu suất chuyển đội DC-AC: 97.8% (Tiêu chuẩn EU 97.3%)</t>
  </si>
  <si>
    <t>INVT</t>
  </si>
  <si>
    <t>BỘ CHỐNG PHÁT NGƯỢC</t>
  </si>
  <si>
    <t>Bộ chống phát ngược lên lưới</t>
  </si>
  <si>
    <t>Dây điện AC 1 pha 2 lõi đồng cao cấp CVV 2x6mm</t>
  </si>
  <si>
    <t xml:space="preserve">Cáp tiếp địa CV-1x4mm2 </t>
  </si>
  <si>
    <r>
      <t>Cadisun/
Tr</t>
    </r>
    <r>
      <rPr>
        <sz val="11"/>
        <color theme="1" tint="0.14999847407452621"/>
        <rFont val="Calibri"/>
        <family val="2"/>
      </rPr>
      <t>ầ</t>
    </r>
    <r>
      <rPr>
        <sz val="11"/>
        <color theme="1" tint="0.14999847407452621"/>
        <rFont val="Barlow Condensed"/>
      </rPr>
      <t>n Phú</t>
    </r>
    <phoneticPr fontId="8" type="noConversion"/>
  </si>
  <si>
    <t>Inverter Hòa lưới bám tải INVT_ XG10KTL1, 10kW 1 pha. IP 66 chống bụi chống nước
Tản nhiệt nhôm cao cấp, chống ồn
Đầu vào Max DC: 15 kWp
Hiệu suất chuyển đội DC-AC: 98.1% (Tiêu chuẩn EU 97.3%)</t>
  </si>
  <si>
    <r>
      <t>5</t>
    </r>
    <r>
      <rPr>
        <b/>
        <sz val="16"/>
        <color rgb="FF000000"/>
        <rFont val="Calibri"/>
        <family val="2"/>
      </rPr>
      <t>-5-4</t>
    </r>
    <phoneticPr fontId="8" type="noConversion"/>
  </si>
  <si>
    <r>
      <t>T</t>
    </r>
    <r>
      <rPr>
        <sz val="11"/>
        <color theme="1" tint="0.14999847407452621"/>
        <rFont val="Calibri"/>
        <family val="2"/>
      </rPr>
      <t>ủ</t>
    </r>
    <r>
      <rPr>
        <sz val="11"/>
        <color theme="1" tint="0.14999847407452621"/>
        <rFont val="Barlow Condensed"/>
      </rPr>
      <t xml:space="preserve">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>n NLMT hòa l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</rPr>
      <t>ớ</t>
    </r>
    <r>
      <rPr>
        <sz val="11"/>
        <color theme="1" tint="0.14999847407452621"/>
        <rFont val="Barlow Condensed"/>
      </rPr>
      <t>i bám t</t>
    </r>
    <r>
      <rPr>
        <sz val="11"/>
        <color theme="1" tint="0.14999847407452621"/>
        <rFont val="Calibri"/>
        <family val="2"/>
      </rPr>
      <t>ả</t>
    </r>
    <r>
      <rPr>
        <sz val="11"/>
        <color theme="1" tint="0.14999847407452621"/>
        <rFont val="Barlow Condensed"/>
      </rPr>
      <t>i 10kW 1 Pha</t>
    </r>
    <r>
      <rPr>
        <sz val="11"/>
        <color theme="1" tint="0.14999847407452621"/>
        <rFont val="Calibri"/>
        <family val="2"/>
      </rPr>
      <t xml:space="preserve"> - 2 strings</t>
    </r>
    <r>
      <rPr>
        <sz val="11"/>
        <color theme="1" tint="0.14999847407452621"/>
        <rFont val="Barlow Condensed"/>
      </rPr>
      <t xml:space="preserve">
V</t>
    </r>
    <r>
      <rPr>
        <sz val="11"/>
        <color theme="1" tint="0.14999847407452621"/>
        <rFont val="Calibri"/>
        <family val="2"/>
      </rPr>
      <t>ỏ</t>
    </r>
    <r>
      <rPr>
        <sz val="11"/>
        <color theme="1" tint="0.14999847407452621"/>
        <rFont val="Barlow Condensed"/>
      </rPr>
      <t xml:space="preserve"> t</t>
    </r>
    <r>
      <rPr>
        <sz val="11"/>
        <color theme="1" tint="0.14999847407452621"/>
        <rFont val="Calibri"/>
        <family val="2"/>
      </rPr>
      <t>ủ</t>
    </r>
    <r>
      <rPr>
        <sz val="11"/>
        <color theme="1" tint="0.14999847407452621"/>
        <rFont val="Barlow Condensed"/>
      </rPr>
      <t xml:space="preserve">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>n: V</t>
    </r>
    <r>
      <rPr>
        <sz val="11"/>
        <color theme="1" tint="0.14999847407452621"/>
        <rFont val="Calibri"/>
        <family val="2"/>
      </rPr>
      <t>ỏ</t>
    </r>
    <r>
      <rPr>
        <sz val="11"/>
        <color theme="1" tint="0.14999847407452621"/>
        <rFont val="Barlow Condensed"/>
      </rPr>
      <t xml:space="preserve"> nh</t>
    </r>
    <r>
      <rPr>
        <sz val="11"/>
        <color theme="1" tint="0.14999847407452621"/>
        <rFont val="Calibri"/>
        <family val="2"/>
      </rPr>
      <t>ự</t>
    </r>
    <r>
      <rPr>
        <sz val="11"/>
        <color theme="1" tint="0.14999847407452621"/>
        <rFont val="Barlow Condensed"/>
      </rPr>
      <t>a Suntree 12</t>
    </r>
    <r>
      <rPr>
        <sz val="11"/>
        <color theme="1" tint="0.14999847407452621"/>
        <rFont val="Calibri"/>
        <family val="2"/>
      </rPr>
      <t>/18</t>
    </r>
    <r>
      <rPr>
        <sz val="11"/>
        <color theme="1" tint="0.14999847407452621"/>
        <rFont val="Barlow Condensed"/>
      </rPr>
      <t xml:space="preserve"> Ways
Aptomat AC cho l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</rPr>
      <t>ớ</t>
    </r>
    <r>
      <rPr>
        <sz val="11"/>
        <color theme="1" tint="0.14999847407452621"/>
        <rFont val="Barlow Condensed"/>
      </rPr>
      <t>i: 2P-63A</t>
    </r>
    <r>
      <rPr>
        <sz val="11"/>
        <color theme="1" tint="0.14999847407452621"/>
        <rFont val="Calibri"/>
        <family val="2"/>
      </rPr>
      <t xml:space="preserve">. Thương hiệu: </t>
    </r>
    <r>
      <rPr>
        <sz val="11"/>
        <color theme="1" tint="0.14999847407452621"/>
        <rFont val="Barlow Condensed"/>
      </rPr>
      <t>LS Hàn Qu</t>
    </r>
    <r>
      <rPr>
        <sz val="11"/>
        <color theme="1" tint="0.14999847407452621"/>
        <rFont val="Calibri"/>
        <family val="2"/>
      </rPr>
      <t>ố</t>
    </r>
    <r>
      <rPr>
        <sz val="11"/>
        <color theme="1" tint="0.14999847407452621"/>
        <rFont val="Barlow Condensed"/>
      </rPr>
      <t>c
At SPD ch</t>
    </r>
    <r>
      <rPr>
        <sz val="11"/>
        <color theme="1" tint="0.14999847407452621"/>
        <rFont val="Calibri"/>
        <family val="2"/>
      </rPr>
      <t>ố</t>
    </r>
    <r>
      <rPr>
        <sz val="11"/>
        <color theme="1" tint="0.14999847407452621"/>
        <rFont val="Barlow Condensed"/>
      </rPr>
      <t>ng sét lan truy</t>
    </r>
    <r>
      <rPr>
        <sz val="11"/>
        <color theme="1" tint="0.14999847407452621"/>
        <rFont val="Calibri"/>
        <family val="2"/>
      </rPr>
      <t>ề</t>
    </r>
    <r>
      <rPr>
        <sz val="11"/>
        <color theme="1" tint="0.14999847407452621"/>
        <rFont val="Barlow Condensed"/>
      </rPr>
      <t>n cho AC</t>
    </r>
    <r>
      <rPr>
        <sz val="11"/>
        <color theme="1" tint="0.14999847407452621"/>
        <rFont val="Calibri"/>
        <family val="2"/>
      </rPr>
      <t>. Thương hiệu Suntree</t>
    </r>
    <r>
      <rPr>
        <sz val="11"/>
        <color theme="1" tint="0.14999847407452621"/>
        <rFont val="Barlow Condensed"/>
      </rPr>
      <t xml:space="preserve">
At DC và ch</t>
    </r>
    <r>
      <rPr>
        <sz val="11"/>
        <color theme="1" tint="0.14999847407452621"/>
        <rFont val="Calibri"/>
        <family val="2"/>
      </rPr>
      <t>ố</t>
    </r>
    <r>
      <rPr>
        <sz val="11"/>
        <color theme="1" tint="0.14999847407452621"/>
        <rFont val="Barlow Condensed"/>
      </rPr>
      <t>ng sét DC - 2 strings:</t>
    </r>
    <r>
      <rPr>
        <sz val="11"/>
        <color theme="1" tint="0.14999847407452621"/>
        <rFont val="Calibri"/>
        <family val="2"/>
      </rPr>
      <t xml:space="preserve"> 2 bộ. Thương hiệu</t>
    </r>
    <r>
      <rPr>
        <sz val="11"/>
        <color theme="1" tint="0.14999847407452621"/>
        <rFont val="Barlow Condensed"/>
      </rPr>
      <t xml:space="preserve"> Vaneims</t>
    </r>
    <phoneticPr fontId="8" type="noConversion"/>
  </si>
  <si>
    <r>
      <t>T</t>
    </r>
    <r>
      <rPr>
        <sz val="11"/>
        <color theme="1" tint="0.14999847407452621"/>
        <rFont val="Calibri"/>
        <family val="2"/>
      </rPr>
      <t>ủ</t>
    </r>
    <r>
      <rPr>
        <sz val="11"/>
        <color theme="1" tint="0.14999847407452621"/>
        <rFont val="Barlow Condensed"/>
      </rPr>
      <t xml:space="preserve">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>n NLMT hòa l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</rPr>
      <t>ớ</t>
    </r>
    <r>
      <rPr>
        <sz val="11"/>
        <color theme="1" tint="0.14999847407452621"/>
        <rFont val="Barlow Condensed"/>
      </rPr>
      <t>i bám t</t>
    </r>
    <r>
      <rPr>
        <sz val="11"/>
        <color theme="1" tint="0.14999847407452621"/>
        <rFont val="Calibri"/>
        <family val="2"/>
      </rPr>
      <t>ả</t>
    </r>
    <r>
      <rPr>
        <sz val="11"/>
        <color theme="1" tint="0.14999847407452621"/>
        <rFont val="Barlow Condensed"/>
      </rPr>
      <t>i 5kW 1 Pha
V</t>
    </r>
    <r>
      <rPr>
        <sz val="11"/>
        <color theme="1" tint="0.14999847407452621"/>
        <rFont val="Calibri"/>
        <family val="2"/>
      </rPr>
      <t>ỏ</t>
    </r>
    <r>
      <rPr>
        <sz val="11"/>
        <color theme="1" tint="0.14999847407452621"/>
        <rFont val="Barlow Condensed"/>
      </rPr>
      <t xml:space="preserve"> t</t>
    </r>
    <r>
      <rPr>
        <sz val="11"/>
        <color theme="1" tint="0.14999847407452621"/>
        <rFont val="Calibri"/>
        <family val="2"/>
      </rPr>
      <t>ủ</t>
    </r>
    <r>
      <rPr>
        <sz val="11"/>
        <color theme="1" tint="0.14999847407452621"/>
        <rFont val="Barlow Condensed"/>
      </rPr>
      <t xml:space="preserve">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>n: V</t>
    </r>
    <r>
      <rPr>
        <sz val="11"/>
        <color theme="1" tint="0.14999847407452621"/>
        <rFont val="Calibri"/>
        <family val="2"/>
      </rPr>
      <t>ỏ</t>
    </r>
    <r>
      <rPr>
        <sz val="11"/>
        <color theme="1" tint="0.14999847407452621"/>
        <rFont val="Barlow Condensed"/>
      </rPr>
      <t xml:space="preserve"> nh</t>
    </r>
    <r>
      <rPr>
        <sz val="11"/>
        <color theme="1" tint="0.14999847407452621"/>
        <rFont val="Calibri"/>
        <family val="2"/>
      </rPr>
      <t>ự</t>
    </r>
    <r>
      <rPr>
        <sz val="11"/>
        <color theme="1" tint="0.14999847407452621"/>
        <rFont val="Barlow Condensed"/>
      </rPr>
      <t>a Suntree 12 Ways
Aptomat AC Grid: 2P-32A LS Hàn Qu</t>
    </r>
    <r>
      <rPr>
        <sz val="11"/>
        <color theme="1" tint="0.14999847407452621"/>
        <rFont val="Calibri"/>
        <family val="2"/>
      </rPr>
      <t>ố</t>
    </r>
    <r>
      <rPr>
        <sz val="11"/>
        <color theme="1" tint="0.14999847407452621"/>
        <rFont val="Barlow Condensed"/>
      </rPr>
      <t>c
At SPD ch</t>
    </r>
    <r>
      <rPr>
        <sz val="11"/>
        <color theme="1" tint="0.14999847407452621"/>
        <rFont val="Calibri"/>
        <family val="2"/>
      </rPr>
      <t>ố</t>
    </r>
    <r>
      <rPr>
        <sz val="11"/>
        <color theme="1" tint="0.14999847407452621"/>
        <rFont val="Barlow Condensed"/>
      </rPr>
      <t>ng sét lan truy</t>
    </r>
    <r>
      <rPr>
        <sz val="11"/>
        <color theme="1" tint="0.14999847407452621"/>
        <rFont val="Calibri"/>
        <family val="2"/>
      </rPr>
      <t>ề</t>
    </r>
    <r>
      <rPr>
        <sz val="11"/>
        <color theme="1" tint="0.14999847407452621"/>
        <rFont val="Barlow Condensed"/>
      </rPr>
      <t>n cho AC</t>
    </r>
    <r>
      <rPr>
        <sz val="11"/>
        <color theme="1" tint="0.14999847407452621"/>
        <rFont val="Calibri"/>
        <family val="2"/>
      </rPr>
      <t>. Thương hiệu Suntree</t>
    </r>
    <r>
      <rPr>
        <sz val="11"/>
        <color theme="1" tint="0.14999847407452621"/>
        <rFont val="Barlow Condensed"/>
      </rPr>
      <t xml:space="preserve">
At DC và ch</t>
    </r>
    <r>
      <rPr>
        <sz val="11"/>
        <color theme="1" tint="0.14999847407452621"/>
        <rFont val="Calibri"/>
        <family val="2"/>
      </rPr>
      <t>ố</t>
    </r>
    <r>
      <rPr>
        <sz val="11"/>
        <color theme="1" tint="0.14999847407452621"/>
        <rFont val="Barlow Condensed"/>
      </rPr>
      <t>ng sét DC cho giàn pin: Vaneims</t>
    </r>
    <phoneticPr fontId="8" type="noConversion"/>
  </si>
  <si>
    <r>
      <t>5</t>
    </r>
    <r>
      <rPr>
        <b/>
        <sz val="16"/>
        <color rgb="FF000000"/>
        <rFont val="Barlow Condensed"/>
        <family val="2"/>
      </rPr>
      <t>-5-4</t>
    </r>
    <r>
      <rPr>
        <b/>
        <sz val="16"/>
        <color rgb="FF000000"/>
        <rFont val="Calibri"/>
        <family val="2"/>
        <charset val="163"/>
      </rPr>
      <t>-4</t>
    </r>
    <phoneticPr fontId="8" type="noConversion"/>
  </si>
  <si>
    <r>
      <t xml:space="preserve">Dây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 xml:space="preserve">n AC 1 pha 2 lõi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Calibri"/>
        <family val="2"/>
      </rPr>
      <t>ồ</t>
    </r>
    <r>
      <rPr>
        <sz val="11"/>
        <color theme="1" tint="0.14999847407452621"/>
        <rFont val="Barlow Condensed"/>
      </rPr>
      <t>ng cao c</t>
    </r>
    <r>
      <rPr>
        <sz val="11"/>
        <color theme="1" tint="0.14999847407452621"/>
        <rFont val="Calibri"/>
        <family val="2"/>
      </rPr>
      <t>ấ</t>
    </r>
    <r>
      <rPr>
        <sz val="11"/>
        <color theme="1" tint="0.14999847407452621"/>
        <rFont val="Barlow Condensed"/>
      </rPr>
      <t>p CVV 2x10mm</t>
    </r>
    <phoneticPr fontId="8" type="noConversion"/>
  </si>
  <si>
    <r>
      <t xml:space="preserve">Dây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 xml:space="preserve">n AC 1 pha 2 lõi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Calibri"/>
        <family val="2"/>
      </rPr>
      <t>ồ</t>
    </r>
    <r>
      <rPr>
        <sz val="11"/>
        <color theme="1" tint="0.14999847407452621"/>
        <rFont val="Barlow Condensed"/>
      </rPr>
      <t>ng cao c</t>
    </r>
    <r>
      <rPr>
        <sz val="11"/>
        <color theme="1" tint="0.14999847407452621"/>
        <rFont val="Calibri"/>
        <family val="2"/>
      </rPr>
      <t>ấ</t>
    </r>
    <r>
      <rPr>
        <sz val="11"/>
        <color theme="1" tint="0.14999847407452621"/>
        <rFont val="Barlow Condensed"/>
      </rPr>
      <t>p CVV 2x10mm</t>
    </r>
    <phoneticPr fontId="16" type="noConversion"/>
  </si>
  <si>
    <r>
      <t xml:space="preserve">Dây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 xml:space="preserve">n AC 1 pha 2 lõi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Calibri"/>
        <family val="2"/>
      </rPr>
      <t>ồ</t>
    </r>
    <r>
      <rPr>
        <sz val="11"/>
        <color theme="1" tint="0.14999847407452621"/>
        <rFont val="Barlow Condensed"/>
      </rPr>
      <t>ng cao c</t>
    </r>
    <r>
      <rPr>
        <sz val="11"/>
        <color theme="1" tint="0.14999847407452621"/>
        <rFont val="Calibri"/>
        <family val="2"/>
      </rPr>
      <t>ấ</t>
    </r>
    <r>
      <rPr>
        <sz val="11"/>
        <color theme="1" tint="0.14999847407452621"/>
        <rFont val="Barlow Condensed"/>
      </rPr>
      <t>p CVV</t>
    </r>
    <r>
      <rPr>
        <sz val="11"/>
        <color theme="1" tint="0.14999847407452621"/>
        <rFont val="Calibri"/>
        <family val="2"/>
      </rPr>
      <t xml:space="preserve"> </t>
    </r>
    <r>
      <rPr>
        <sz val="11"/>
        <color theme="1" tint="0.14999847407452621"/>
        <rFont val="Barlow Condensed"/>
      </rPr>
      <t>2x10mm</t>
    </r>
    <phoneticPr fontId="16" type="noConversion"/>
  </si>
  <si>
    <t>Inverter Hòa lưới bám tải INVT_ XG10KTR-S, 10kW 3 pha. IP 66 chống bụi chống nước
Tản nhiệt nhôm cao cấp, chống ồn
Đầu vào Max DC: 16 kWp
Hiệu suất chuyển đội DC-AC: 98.7% (Tiêu chuẩn EU 98.5%)</t>
  </si>
  <si>
    <t>Bộ chống phát ngược lên lưới Metter 3 pha gián tiếp  + CT</t>
  </si>
  <si>
    <t>Dây điện AC 3 pha 4 lõi đồng cao cấp CVV 4x10mm</t>
  </si>
  <si>
    <t>Inverter Hòa lưới bám tải INVT_ XG15KTR1-S, 15kW 3 pha. IP 66 chống bụi chống nước
Tản nhiệt nhôm cao cấp, chống ồn
Đầu vào Max DC: 24 kWp
Hiệu suất chuyển đội DC-AC: 98.7% (Tiêu chuẩn EU 98.5%)</t>
  </si>
  <si>
    <r>
      <t>5</t>
    </r>
    <r>
      <rPr>
        <b/>
        <sz val="16"/>
        <color rgb="FF000000"/>
        <rFont val="Calibri"/>
        <family val="2"/>
      </rPr>
      <t>-5-5-5-4</t>
    </r>
    <phoneticPr fontId="8" type="noConversion"/>
  </si>
  <si>
    <r>
      <t>T</t>
    </r>
    <r>
      <rPr>
        <sz val="11"/>
        <color theme="1" tint="0.14999847407452621"/>
        <rFont val="Calibri"/>
        <family val="2"/>
        <charset val="163"/>
      </rPr>
      <t>ủ</t>
    </r>
    <r>
      <rPr>
        <sz val="11"/>
        <color theme="1" tint="0.14999847407452621"/>
        <rFont val="Barlow Condensed"/>
      </rPr>
      <t xml:space="preserve">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>n NLMT hòa l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  <charset val="163"/>
      </rPr>
      <t>ớ</t>
    </r>
    <r>
      <rPr>
        <sz val="11"/>
        <color theme="1" tint="0.14999847407452621"/>
        <rFont val="Barlow Condensed"/>
      </rPr>
      <t>i bám t</t>
    </r>
    <r>
      <rPr>
        <sz val="11"/>
        <color theme="1" tint="0.14999847407452621"/>
        <rFont val="Calibri"/>
        <family val="2"/>
        <charset val="163"/>
      </rPr>
      <t>ả</t>
    </r>
    <r>
      <rPr>
        <sz val="11"/>
        <color theme="1" tint="0.14999847407452621"/>
        <rFont val="Barlow Condensed"/>
      </rPr>
      <t>i 15kW 3 Pha
V</t>
    </r>
    <r>
      <rPr>
        <sz val="11"/>
        <color theme="1" tint="0.14999847407452621"/>
        <rFont val="Calibri"/>
        <family val="2"/>
        <charset val="163"/>
      </rPr>
      <t>ỏ</t>
    </r>
    <r>
      <rPr>
        <sz val="11"/>
        <color theme="1" tint="0.14999847407452621"/>
        <rFont val="Barlow Condensed"/>
      </rPr>
      <t xml:space="preserve"> t</t>
    </r>
    <r>
      <rPr>
        <sz val="11"/>
        <color theme="1" tint="0.14999847407452621"/>
        <rFont val="Calibri"/>
        <family val="2"/>
        <charset val="163"/>
      </rPr>
      <t>ủ</t>
    </r>
    <r>
      <rPr>
        <sz val="11"/>
        <color theme="1" tint="0.14999847407452621"/>
        <rFont val="Barlow Condensed"/>
      </rPr>
      <t xml:space="preserve">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</rPr>
      <t>n: V</t>
    </r>
    <r>
      <rPr>
        <sz val="11"/>
        <color theme="1" tint="0.14999847407452621"/>
        <rFont val="Calibri"/>
        <family val="2"/>
        <charset val="163"/>
      </rPr>
      <t>ỏ</t>
    </r>
    <r>
      <rPr>
        <sz val="11"/>
        <color theme="1" tint="0.14999847407452621"/>
        <rFont val="Barlow Condensed"/>
      </rPr>
      <t xml:space="preserve"> </t>
    </r>
    <r>
      <rPr>
        <sz val="11"/>
        <color theme="1" tint="0.14999847407452621"/>
        <rFont val="Calibri"/>
        <family val="2"/>
      </rPr>
      <t>tủ sắt sơn tĩnh điện 50x70x25cm</t>
    </r>
    <r>
      <rPr>
        <sz val="11"/>
        <color theme="1" tint="0.14999847407452621"/>
        <rFont val="Barlow Condensed"/>
      </rPr>
      <t xml:space="preserve">
Aptomat AC cho l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  <charset val="163"/>
      </rPr>
      <t>ớ</t>
    </r>
    <r>
      <rPr>
        <sz val="11"/>
        <color theme="1" tint="0.14999847407452621"/>
        <rFont val="Barlow Condensed"/>
      </rPr>
      <t>i: 3P-63A LS Hàn Qu</t>
    </r>
    <r>
      <rPr>
        <sz val="11"/>
        <color theme="1" tint="0.14999847407452621"/>
        <rFont val="Calibri"/>
        <family val="2"/>
        <charset val="163"/>
      </rPr>
      <t>ố</t>
    </r>
    <r>
      <rPr>
        <sz val="11"/>
        <color theme="1" tint="0.14999847407452621"/>
        <rFont val="Barlow Condensed"/>
      </rPr>
      <t>c
At SPD ch</t>
    </r>
    <r>
      <rPr>
        <sz val="11"/>
        <color theme="1" tint="0.14999847407452621"/>
        <rFont val="Calibri"/>
        <family val="2"/>
        <charset val="163"/>
      </rPr>
      <t>ố</t>
    </r>
    <r>
      <rPr>
        <sz val="11"/>
        <color theme="1" tint="0.14999847407452621"/>
        <rFont val="Barlow Condensed"/>
      </rPr>
      <t>ng sét lan truy</t>
    </r>
    <r>
      <rPr>
        <sz val="11"/>
        <color theme="1" tint="0.14999847407452621"/>
        <rFont val="Calibri"/>
        <family val="2"/>
        <charset val="163"/>
      </rPr>
      <t>ề</t>
    </r>
    <r>
      <rPr>
        <sz val="11"/>
        <color theme="1" tint="0.14999847407452621"/>
        <rFont val="Barlow Condensed"/>
      </rPr>
      <t>n cho AC</t>
    </r>
    <r>
      <rPr>
        <sz val="11"/>
        <color theme="1" tint="0.14999847407452621"/>
        <rFont val="Barlow Condensed"/>
        <family val="2"/>
      </rPr>
      <t>: 3 b</t>
    </r>
    <r>
      <rPr>
        <sz val="11"/>
        <color theme="1" tint="0.14999847407452621"/>
        <rFont val="Calibri"/>
        <family val="2"/>
        <charset val="163"/>
      </rPr>
      <t>ộ</t>
    </r>
    <r>
      <rPr>
        <sz val="11"/>
        <color theme="1" tint="0.14999847407452621"/>
        <rFont val="Barlow Condensed"/>
        <family val="2"/>
      </rPr>
      <t>. Th</t>
    </r>
    <r>
      <rPr>
        <sz val="11"/>
        <color theme="1" tint="0.14999847407452621"/>
        <rFont val="Calibri"/>
        <family val="2"/>
      </rPr>
      <t>ươ</t>
    </r>
    <r>
      <rPr>
        <sz val="11"/>
        <color theme="1" tint="0.14999847407452621"/>
        <rFont val="Barlow Condensed"/>
        <family val="2"/>
      </rPr>
      <t>ng hi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  <family val="2"/>
      </rPr>
      <t>u Suntree</t>
    </r>
    <r>
      <rPr>
        <sz val="11"/>
        <color theme="1" tint="0.14999847407452621"/>
        <rFont val="Barlow Condensed"/>
      </rPr>
      <t xml:space="preserve">
At DC cho giàn pin:</t>
    </r>
    <r>
      <rPr>
        <sz val="11"/>
        <color theme="1" tint="0.14999847407452621"/>
        <rFont val="Barlow Condensed"/>
        <family val="2"/>
      </rPr>
      <t xml:space="preserve"> 3 b</t>
    </r>
    <r>
      <rPr>
        <sz val="11"/>
        <color theme="1" tint="0.14999847407452621"/>
        <rFont val="Calibri"/>
        <family val="2"/>
        <charset val="163"/>
      </rPr>
      <t>ộ</t>
    </r>
    <r>
      <rPr>
        <sz val="11"/>
        <color theme="1" tint="0.14999847407452621"/>
        <rFont val="Barlow Condensed"/>
        <family val="2"/>
      </rPr>
      <t>. Th</t>
    </r>
    <r>
      <rPr>
        <sz val="11"/>
        <color theme="1" tint="0.14999847407452621"/>
        <rFont val="Calibri"/>
        <family val="2"/>
      </rPr>
      <t>ươ</t>
    </r>
    <r>
      <rPr>
        <sz val="11"/>
        <color theme="1" tint="0.14999847407452621"/>
        <rFont val="Barlow Condensed"/>
        <family val="2"/>
      </rPr>
      <t>ng hi</t>
    </r>
    <r>
      <rPr>
        <sz val="11"/>
        <color theme="1" tint="0.14999847407452621"/>
        <rFont val="Calibri"/>
        <family val="2"/>
        <charset val="163"/>
      </rPr>
      <t>ệ</t>
    </r>
    <r>
      <rPr>
        <sz val="11"/>
        <color theme="1" tint="0.14999847407452621"/>
        <rFont val="Barlow Condensed"/>
        <family val="2"/>
      </rPr>
      <t>u</t>
    </r>
    <r>
      <rPr>
        <sz val="11"/>
        <color theme="1" tint="0.14999847407452621"/>
        <rFont val="Barlow Condensed"/>
      </rPr>
      <t xml:space="preserve"> Vaneims</t>
    </r>
    <phoneticPr fontId="8" type="noConversion"/>
  </si>
  <si>
    <r>
      <t>T</t>
    </r>
    <r>
      <rPr>
        <sz val="11"/>
        <color theme="1" tint="0.14999847407452621"/>
        <rFont val="Calibri"/>
        <family val="2"/>
      </rPr>
      <t>ủ</t>
    </r>
    <r>
      <rPr>
        <sz val="11"/>
        <color theme="1" tint="0.14999847407452621"/>
        <rFont val="Barlow Condensed"/>
      </rPr>
      <t xml:space="preserve">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>n NLMT hòa l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</rPr>
      <t>ớ</t>
    </r>
    <r>
      <rPr>
        <sz val="11"/>
        <color theme="1" tint="0.14999847407452621"/>
        <rFont val="Barlow Condensed"/>
      </rPr>
      <t>i bám t</t>
    </r>
    <r>
      <rPr>
        <sz val="11"/>
        <color theme="1" tint="0.14999847407452621"/>
        <rFont val="Calibri"/>
        <family val="2"/>
      </rPr>
      <t>ả</t>
    </r>
    <r>
      <rPr>
        <sz val="11"/>
        <color theme="1" tint="0.14999847407452621"/>
        <rFont val="Barlow Condensed"/>
      </rPr>
      <t>i 10kW 3 Pha
V</t>
    </r>
    <r>
      <rPr>
        <sz val="11"/>
        <color theme="1" tint="0.14999847407452621"/>
        <rFont val="Calibri"/>
        <family val="2"/>
      </rPr>
      <t>ỏ</t>
    </r>
    <r>
      <rPr>
        <sz val="11"/>
        <color theme="1" tint="0.14999847407452621"/>
        <rFont val="Barlow Condensed"/>
      </rPr>
      <t xml:space="preserve"> t</t>
    </r>
    <r>
      <rPr>
        <sz val="11"/>
        <color theme="1" tint="0.14999847407452621"/>
        <rFont val="Calibri"/>
        <family val="2"/>
      </rPr>
      <t>ủ</t>
    </r>
    <r>
      <rPr>
        <sz val="11"/>
        <color theme="1" tint="0.14999847407452621"/>
        <rFont val="Barlow Condensed"/>
      </rPr>
      <t xml:space="preserve">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>n: V</t>
    </r>
    <r>
      <rPr>
        <sz val="11"/>
        <color theme="1" tint="0.14999847407452621"/>
        <rFont val="Calibri"/>
        <family val="2"/>
      </rPr>
      <t>ỏ</t>
    </r>
    <r>
      <rPr>
        <sz val="11"/>
        <color theme="1" tint="0.14999847407452621"/>
        <rFont val="Barlow Condensed"/>
      </rPr>
      <t xml:space="preserve"> t</t>
    </r>
    <r>
      <rPr>
        <sz val="11"/>
        <color theme="1" tint="0.14999847407452621"/>
        <rFont val="Calibri"/>
        <family val="2"/>
      </rPr>
      <t>ủ</t>
    </r>
    <r>
      <rPr>
        <sz val="11"/>
        <color theme="1" tint="0.14999847407452621"/>
        <rFont val="Barlow Condensed"/>
      </rPr>
      <t xml:space="preserve"> s</t>
    </r>
    <r>
      <rPr>
        <sz val="11"/>
        <color theme="1" tint="0.14999847407452621"/>
        <rFont val="Calibri"/>
        <family val="2"/>
      </rPr>
      <t>ắ</t>
    </r>
    <r>
      <rPr>
        <sz val="11"/>
        <color theme="1" tint="0.14999847407452621"/>
        <rFont val="Barlow Condensed"/>
      </rPr>
      <t>t s</t>
    </r>
    <r>
      <rPr>
        <sz val="11"/>
        <color theme="1" tint="0.14999847407452621"/>
        <rFont val="Segoe UI"/>
        <family val="2"/>
      </rPr>
      <t>ơ</t>
    </r>
    <r>
      <rPr>
        <sz val="11"/>
        <color theme="1" tint="0.14999847407452621"/>
        <rFont val="Barlow Condensed"/>
      </rPr>
      <t>n t</t>
    </r>
    <r>
      <rPr>
        <sz val="11"/>
        <color theme="1" tint="0.14999847407452621"/>
        <rFont val="Segoe UI"/>
        <family val="2"/>
      </rPr>
      <t>ĩ</t>
    </r>
    <r>
      <rPr>
        <sz val="11"/>
        <color theme="1" tint="0.14999847407452621"/>
        <rFont val="Barlow Condensed"/>
      </rPr>
      <t xml:space="preserve">nh </t>
    </r>
    <r>
      <rPr>
        <sz val="11"/>
        <color theme="1" tint="0.14999847407452621"/>
        <rFont val="Segoe UI"/>
        <family val="2"/>
      </rPr>
      <t>đ</t>
    </r>
    <r>
      <rPr>
        <sz val="11"/>
        <color theme="1" tint="0.14999847407452621"/>
        <rFont val="Barlow Condensed"/>
      </rPr>
      <t>i</t>
    </r>
    <r>
      <rPr>
        <sz val="11"/>
        <color theme="1" tint="0.14999847407452621"/>
        <rFont val="Calibri"/>
        <family val="2"/>
      </rPr>
      <t>ệ</t>
    </r>
    <r>
      <rPr>
        <sz val="11"/>
        <color theme="1" tint="0.14999847407452621"/>
        <rFont val="Barlow Condensed"/>
      </rPr>
      <t>n 50x70x25cm
Aptomat AC cho l</t>
    </r>
    <r>
      <rPr>
        <sz val="11"/>
        <color theme="1" tint="0.14999847407452621"/>
        <rFont val="Segoe UI"/>
        <family val="2"/>
      </rPr>
      <t>ư</t>
    </r>
    <r>
      <rPr>
        <sz val="11"/>
        <color theme="1" tint="0.14999847407452621"/>
        <rFont val="Calibri"/>
        <family val="2"/>
      </rPr>
      <t>ớ</t>
    </r>
    <r>
      <rPr>
        <sz val="11"/>
        <color theme="1" tint="0.14999847407452621"/>
        <rFont val="Barlow Condensed"/>
      </rPr>
      <t>i: 3P-63A LS Hàn Qu</t>
    </r>
    <r>
      <rPr>
        <sz val="11"/>
        <color theme="1" tint="0.14999847407452621"/>
        <rFont val="Calibri"/>
        <family val="2"/>
      </rPr>
      <t>ố</t>
    </r>
    <r>
      <rPr>
        <sz val="11"/>
        <color theme="1" tint="0.14999847407452621"/>
        <rFont val="Barlow Condensed"/>
      </rPr>
      <t>c
At SPD ch</t>
    </r>
    <r>
      <rPr>
        <sz val="11"/>
        <color theme="1" tint="0.14999847407452621"/>
        <rFont val="Calibri"/>
        <family val="2"/>
      </rPr>
      <t>ố</t>
    </r>
    <r>
      <rPr>
        <sz val="11"/>
        <color theme="1" tint="0.14999847407452621"/>
        <rFont val="Barlow Condensed"/>
      </rPr>
      <t>ng sét lan truy</t>
    </r>
    <r>
      <rPr>
        <sz val="11"/>
        <color theme="1" tint="0.14999847407452621"/>
        <rFont val="Calibri"/>
        <family val="2"/>
      </rPr>
      <t>ề</t>
    </r>
    <r>
      <rPr>
        <sz val="11"/>
        <color theme="1" tint="0.14999847407452621"/>
        <rFont val="Barlow Condensed"/>
      </rPr>
      <t>n cho AC</t>
    </r>
    <r>
      <rPr>
        <sz val="11"/>
        <color theme="1" tint="0.14999847407452621"/>
        <rFont val="Calibri"/>
        <family val="2"/>
      </rPr>
      <t>: 3 bộ. Thương hiệu Suntree</t>
    </r>
    <r>
      <rPr>
        <sz val="11"/>
        <color theme="1" tint="0.14999847407452621"/>
        <rFont val="Barlow Condensed"/>
      </rPr>
      <t xml:space="preserve">
At DC cho giàn pin:</t>
    </r>
    <r>
      <rPr>
        <sz val="11"/>
        <color theme="1" tint="0.14999847407452621"/>
        <rFont val="Calibri"/>
        <family val="2"/>
      </rPr>
      <t xml:space="preserve"> 3 bộ. Thương hiệu</t>
    </r>
    <r>
      <rPr>
        <sz val="11"/>
        <color theme="1" tint="0.14999847407452621"/>
        <rFont val="Barlow Condensed"/>
      </rPr>
      <t xml:space="preserve"> Vaneims</t>
    </r>
    <phoneticPr fontId="8" type="noConversion"/>
  </si>
  <si>
    <r>
      <t>COST</t>
    </r>
    <r>
      <rPr>
        <b/>
        <sz val="20"/>
        <color rgb="FF000000"/>
        <rFont val="Calibri"/>
        <family val="2"/>
      </rPr>
      <t xml:space="preserve"> AND PRICE FOR RESIDENTIAL SOLAR ROOFTOP IN</t>
    </r>
    <r>
      <rPr>
        <b/>
        <sz val="20"/>
        <color rgb="FF000000"/>
        <rFont val="Barlow Condensed"/>
      </rPr>
      <t xml:space="preserve"> VIET</t>
    </r>
    <r>
      <rPr>
        <b/>
        <sz val="20"/>
        <color rgb="FF000000"/>
        <rFont val="Calibri"/>
        <family val="2"/>
      </rPr>
      <t xml:space="preserve"> NAM - DECEMBER 2024</t>
    </r>
    <phoneticPr fontId="16" type="noConversion"/>
  </si>
  <si>
    <r>
      <t>Update 12th</t>
    </r>
    <r>
      <rPr>
        <i/>
        <sz val="14"/>
        <color rgb="FF000000"/>
        <rFont val="Calibri"/>
        <family val="2"/>
      </rPr>
      <t xml:space="preserve"> December, </t>
    </r>
    <r>
      <rPr>
        <i/>
        <sz val="14"/>
        <color rgb="FF000000"/>
        <rFont val="Barlow Condensed"/>
      </rPr>
      <t>2024</t>
    </r>
    <phoneticPr fontId="16" type="noConversion"/>
  </si>
  <si>
    <r>
      <t>ON</t>
    </r>
    <r>
      <rPr>
        <b/>
        <sz val="11"/>
        <color theme="1" tint="0.14999847407452621"/>
        <rFont val="Calibri"/>
        <family val="2"/>
      </rPr>
      <t xml:space="preserve"> - GRID SOLAR ROOFTOP SYSTEM</t>
    </r>
    <phoneticPr fontId="16" type="noConversion"/>
  </si>
  <si>
    <t>CATEGOGY</t>
    <phoneticPr fontId="16" type="noConversion"/>
  </si>
  <si>
    <t>PV</t>
    <phoneticPr fontId="16" type="noConversion"/>
  </si>
  <si>
    <t>ALUMILUM BRACKET SYSTEM</t>
    <phoneticPr fontId="16" type="noConversion"/>
  </si>
  <si>
    <t>ELECTRICAL WIRE (AC+DC)</t>
    <phoneticPr fontId="16" type="noConversion"/>
  </si>
  <si>
    <t>SOLAR CABINET</t>
    <phoneticPr fontId="16" type="noConversion"/>
  </si>
  <si>
    <t>EARTH GROUND</t>
    <phoneticPr fontId="16" type="noConversion"/>
  </si>
  <si>
    <r>
      <t>LABOR</t>
    </r>
    <r>
      <rPr>
        <sz val="11"/>
        <color theme="1" tint="0.14999847407452621"/>
        <rFont val="Calibri"/>
        <family val="2"/>
      </rPr>
      <t xml:space="preserve"> COST</t>
    </r>
    <phoneticPr fontId="16" type="noConversion"/>
  </si>
  <si>
    <t>HYBRID SOLAR ROOFTOP SYSTEM</t>
    <phoneticPr fontId="16" type="noConversion"/>
  </si>
  <si>
    <t>LITHIUM BATTERY</t>
    <phoneticPr fontId="16" type="noConversion"/>
  </si>
  <si>
    <r>
      <t>OG1P</t>
    </r>
    <r>
      <rPr>
        <b/>
        <sz val="11"/>
        <color theme="1" tint="0.14999847407452621"/>
        <rFont val="Calibri"/>
        <family val="2"/>
      </rPr>
      <t>_</t>
    </r>
    <r>
      <rPr>
        <b/>
        <sz val="11"/>
        <color theme="1" tint="0.14999847407452621"/>
        <rFont val="Barlow Condensed"/>
      </rPr>
      <t>5</t>
    </r>
    <r>
      <rPr>
        <b/>
        <sz val="11"/>
        <color theme="1" tint="0.14999847407452621"/>
        <rFont val="Calibri"/>
        <family val="2"/>
      </rPr>
      <t>.58</t>
    </r>
    <r>
      <rPr>
        <b/>
        <sz val="11"/>
        <color theme="1" tint="0.14999847407452621"/>
        <rFont val="Barlow Condensed"/>
      </rPr>
      <t xml:space="preserve"> kW</t>
    </r>
    <phoneticPr fontId="16" type="noConversion"/>
  </si>
  <si>
    <r>
      <t>OG1P</t>
    </r>
    <r>
      <rPr>
        <b/>
        <sz val="11"/>
        <color theme="1" tint="0.14999847407452621"/>
        <rFont val="Calibri"/>
        <family val="2"/>
      </rPr>
      <t>_</t>
    </r>
    <r>
      <rPr>
        <b/>
        <sz val="11"/>
        <color theme="1" tint="0.14999847407452621"/>
        <rFont val="Barlow Condensed"/>
      </rPr>
      <t>8</t>
    </r>
    <r>
      <rPr>
        <b/>
        <sz val="11"/>
        <color theme="1" tint="0.14999847407452621"/>
        <rFont val="Calibri"/>
        <family val="2"/>
      </rPr>
      <t xml:space="preserve">.68 </t>
    </r>
    <r>
      <rPr>
        <b/>
        <sz val="11"/>
        <color theme="1" tint="0.14999847407452621"/>
        <rFont val="Barlow Condensed"/>
      </rPr>
      <t>kW</t>
    </r>
    <phoneticPr fontId="16" type="noConversion"/>
  </si>
  <si>
    <r>
      <t>OG1P</t>
    </r>
    <r>
      <rPr>
        <b/>
        <sz val="11"/>
        <color theme="1" tint="0.14999847407452621"/>
        <rFont val="Calibri"/>
        <family val="2"/>
      </rPr>
      <t>_</t>
    </r>
    <r>
      <rPr>
        <b/>
        <sz val="11"/>
        <color theme="1" tint="0.14999847407452621"/>
        <rFont val="Barlow Condensed"/>
      </rPr>
      <t>11</t>
    </r>
    <r>
      <rPr>
        <b/>
        <sz val="11"/>
        <color theme="1" tint="0.14999847407452621"/>
        <rFont val="Calibri"/>
        <family val="2"/>
      </rPr>
      <t>.16</t>
    </r>
    <r>
      <rPr>
        <b/>
        <sz val="11"/>
        <color theme="1" tint="0.14999847407452621"/>
        <rFont val="Barlow Condensed"/>
      </rPr>
      <t>kW</t>
    </r>
    <phoneticPr fontId="16" type="noConversion"/>
  </si>
  <si>
    <r>
      <t>OG3P</t>
    </r>
    <r>
      <rPr>
        <b/>
        <sz val="11"/>
        <color theme="1" tint="0.14999847407452621"/>
        <rFont val="Calibri"/>
        <family val="2"/>
      </rPr>
      <t>_8.68</t>
    </r>
    <r>
      <rPr>
        <b/>
        <sz val="11"/>
        <color theme="1" tint="0.14999847407452621"/>
        <rFont val="Barlow Condensed"/>
      </rPr>
      <t>kW</t>
    </r>
    <phoneticPr fontId="16" type="noConversion"/>
  </si>
  <si>
    <r>
      <t>OG3P</t>
    </r>
    <r>
      <rPr>
        <b/>
        <sz val="11"/>
        <color theme="1" tint="0.14999847407452621"/>
        <rFont val="Calibri"/>
        <family val="2"/>
      </rPr>
      <t>_11.16</t>
    </r>
    <r>
      <rPr>
        <b/>
        <sz val="11"/>
        <color theme="1" tint="0.14999847407452621"/>
        <rFont val="Barlow Condensed"/>
      </rPr>
      <t>kW</t>
    </r>
    <phoneticPr fontId="16" type="noConversion"/>
  </si>
  <si>
    <r>
      <t>OG3P</t>
    </r>
    <r>
      <rPr>
        <b/>
        <sz val="11"/>
        <color theme="1" tint="0.14999847407452621"/>
        <rFont val="Calibri"/>
        <family val="2"/>
      </rPr>
      <t>_14.88</t>
    </r>
    <r>
      <rPr>
        <b/>
        <sz val="11"/>
        <color theme="1" tint="0.14999847407452621"/>
        <rFont val="Barlow Condensed"/>
      </rPr>
      <t>kW</t>
    </r>
    <phoneticPr fontId="16" type="noConversion"/>
  </si>
  <si>
    <r>
      <t>OG3P</t>
    </r>
    <r>
      <rPr>
        <b/>
        <sz val="11"/>
        <color theme="1" tint="0.14999847407452621"/>
        <rFont val="Calibri"/>
        <family val="2"/>
      </rPr>
      <t>_16.74</t>
    </r>
    <r>
      <rPr>
        <b/>
        <sz val="11"/>
        <color theme="1" tint="0.14999847407452621"/>
        <rFont val="Barlow Condensed"/>
      </rPr>
      <t>kW</t>
    </r>
    <phoneticPr fontId="16" type="noConversion"/>
  </si>
  <si>
    <t>COST BREAKDOWN (VND, EXCLUDING VAT))</t>
    <phoneticPr fontId="16" type="noConversion"/>
  </si>
  <si>
    <r>
      <t>TOTAL PRICE (VN</t>
    </r>
    <r>
      <rPr>
        <b/>
        <sz val="11"/>
        <color theme="1" tint="0.14999847407452621"/>
        <rFont val="Segoe UI"/>
        <family val="2"/>
      </rPr>
      <t>Đ</t>
    </r>
    <r>
      <rPr>
        <b/>
        <sz val="11"/>
        <color theme="1" tint="0.14999847407452621"/>
        <rFont val="Barlow Condensed"/>
      </rPr>
      <t>)</t>
    </r>
    <phoneticPr fontId="16" type="noConversion"/>
  </si>
  <si>
    <r>
      <t>UNIT</t>
    </r>
    <r>
      <rPr>
        <b/>
        <sz val="11"/>
        <color theme="1" tint="0.14999847407452621"/>
        <rFont val="Calibri"/>
        <family val="2"/>
      </rPr>
      <t xml:space="preserve"> </t>
    </r>
    <r>
      <rPr>
        <b/>
        <sz val="11"/>
        <color theme="1" tint="0.14999847407452621"/>
        <rFont val="Barlow Condensed"/>
      </rPr>
      <t>PRICE (VND/KW), EXCLUDING VAT</t>
    </r>
    <phoneticPr fontId="16" type="noConversion"/>
  </si>
  <si>
    <t>HY1P_5.58kWBAT5.12LV</t>
    <phoneticPr fontId="16" type="noConversion"/>
  </si>
  <si>
    <t>HY1P_8.68kWBAT5.12LV</t>
    <phoneticPr fontId="16" type="noConversion"/>
  </si>
  <si>
    <t>HY1P_11.16kWBAT5.12LV</t>
    <phoneticPr fontId="16" type="noConversion"/>
  </si>
  <si>
    <t>HY1P_14.88kWBAT14.3LV</t>
    <phoneticPr fontId="16" type="noConversion"/>
  </si>
  <si>
    <t>HY3P_11.16kWBAT5.12LV</t>
    <phoneticPr fontId="16" type="noConversion"/>
  </si>
  <si>
    <t>HY3P_16.74kWBAT14.3LV</t>
    <phoneticPr fontId="16" type="noConversion"/>
  </si>
  <si>
    <t>HY3P_11.16kWBAT10HV</t>
    <phoneticPr fontId="16" type="noConversion"/>
  </si>
  <si>
    <t>HY3P_16.74kWBAT15HV</t>
    <phoneticPr fontId="16" type="noConversion"/>
  </si>
  <si>
    <t>HY-SOLAR CABINET</t>
    <phoneticPr fontId="16" type="noConversion"/>
  </si>
  <si>
    <t>OG-SOLAR CABINET</t>
    <phoneticPr fontId="16" type="noConversion"/>
  </si>
  <si>
    <r>
      <t>Note: In</t>
    </r>
    <r>
      <rPr>
        <b/>
        <sz val="11"/>
        <color theme="1" tint="0.14999847407452621"/>
        <rFont val="Calibri"/>
        <family val="2"/>
      </rPr>
      <t xml:space="preserve"> case of installing IVT Hybrid, but no Battery (BAT will be invested later)</t>
    </r>
    <phoneticPr fontId="16" type="noConversion"/>
  </si>
  <si>
    <r>
      <t>TOTAL</t>
    </r>
    <r>
      <rPr>
        <sz val="11"/>
        <color rgb="FF000000"/>
        <rFont val="Barlow Condensed"/>
        <family val="2"/>
      </rPr>
      <t xml:space="preserve"> </t>
    </r>
    <r>
      <rPr>
        <sz val="11"/>
        <color rgb="FF000000"/>
        <rFont val="Barlow Condensed"/>
      </rPr>
      <t>PRICE (IVT</t>
    </r>
    <r>
      <rPr>
        <sz val="11"/>
        <color rgb="FF000000"/>
        <rFont val="Barlow Condensed"/>
        <family val="2"/>
      </rPr>
      <t xml:space="preserve"> </t>
    </r>
    <r>
      <rPr>
        <sz val="11"/>
        <color rgb="FF000000"/>
        <rFont val="Barlow Condensed"/>
      </rPr>
      <t>HYBRID</t>
    </r>
    <r>
      <rPr>
        <sz val="11"/>
        <color rgb="FF000000"/>
        <rFont val="Barlow Condensed"/>
        <family val="2"/>
      </rPr>
      <t>_No</t>
    </r>
    <r>
      <rPr>
        <sz val="11"/>
        <color rgb="FF000000"/>
        <rFont val="Barlow Condensed"/>
      </rPr>
      <t xml:space="preserve"> BAT)</t>
    </r>
    <r>
      <rPr>
        <sz val="11"/>
        <color rgb="FF000000"/>
        <rFont val="Barlow Condensed"/>
        <family val="2"/>
      </rPr>
      <t xml:space="preserve"> (VND</t>
    </r>
    <r>
      <rPr>
        <sz val="11"/>
        <color rgb="FF000000"/>
        <rFont val="Calibri"/>
        <family val="2"/>
        <charset val="163"/>
      </rPr>
      <t>/COMBO, EXCLUDING VAT)</t>
    </r>
    <phoneticPr fontId="16" type="noConversion"/>
  </si>
  <si>
    <r>
      <t>UNIT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Barlow Condensed"/>
      </rPr>
      <t xml:space="preserve">COST </t>
    </r>
    <r>
      <rPr>
        <b/>
        <sz val="11"/>
        <color rgb="FF000000"/>
        <rFont val="Calibri"/>
        <family val="2"/>
      </rPr>
      <t>(</t>
    </r>
    <r>
      <rPr>
        <b/>
        <sz val="11"/>
        <color rgb="FF000000"/>
        <rFont val="Barlow Condensed"/>
      </rPr>
      <t>VND/kWp</t>
    </r>
    <r>
      <rPr>
        <b/>
        <sz val="11"/>
        <color rgb="FF000000"/>
        <rFont val="Calibri"/>
        <family val="2"/>
      </rPr>
      <t>), EXCLUDING VAT</t>
    </r>
    <phoneticPr fontId="16" type="noConversion"/>
  </si>
  <si>
    <t>UNIT PRICE (VND/KW), EXCLUDING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</si>
</sst>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_(* #,##0_);_(* \(#,##0\);_(* &quot;-&quot;??_);_(@_)"/>
    <numFmt numFmtId="178" formatCode="_-[$VND]\ * #,##0_-;\-[$VND]\ * #,##0_-;_-[$VND]\ * &quot;-&quot;??_-;_-@_-"/>
  </numFmts>
  <fonts count="3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6"/>
      <color rgb="FF000000"/>
      <name val="Barlow Condensed"/>
    </font>
    <font>
      <b/>
      <sz val="16"/>
      <color rgb="FF000000"/>
      <name val="Barlow Condensed"/>
    </font>
    <font>
      <b/>
      <sz val="11"/>
      <color theme="1" tint="0.14999847407452621"/>
      <name val="Barlow Condensed"/>
    </font>
    <font>
      <sz val="11"/>
      <color theme="1" tint="0.14999847407452621"/>
      <name val="Barlow Condensed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theme="1"/>
      <name val="Barlow Condensed"/>
    </font>
    <font>
      <b/>
      <sz val="20"/>
      <color rgb="FF000000"/>
      <name val="Barlow Condensed"/>
    </font>
    <font>
      <sz val="20"/>
      <color rgb="FF000000"/>
      <name val="Barlow Condensed"/>
    </font>
    <font>
      <sz val="11"/>
      <color rgb="FF000000"/>
      <name val="Barlow Condensed"/>
    </font>
    <font>
      <i/>
      <sz val="14"/>
      <color rgb="FF000000"/>
      <name val="Barlow Condensed"/>
    </font>
    <font>
      <b/>
      <sz val="11"/>
      <color rgb="FF000000"/>
      <name val="Barlow Condensed"/>
    </font>
    <font>
      <b/>
      <sz val="13"/>
      <color rgb="FF000000"/>
      <name val="Barlow Condensed"/>
    </font>
    <font>
      <sz val="9"/>
      <name val="宋体"/>
      <family val="3"/>
      <charset val="134"/>
    </font>
    <font>
      <sz val="11"/>
      <color theme="1" tint="0.14999847407452621"/>
      <name val="Calibri"/>
      <family val="2"/>
    </font>
    <font>
      <sz val="11"/>
      <color theme="1" tint="0.14999847407452621"/>
      <name val="Segoe UI"/>
      <family val="2"/>
    </font>
    <font>
      <sz val="11"/>
      <color theme="1" tint="0.14999847407452621"/>
      <name val="Barlow Condensed"/>
      <family val="2"/>
    </font>
    <font>
      <sz val="11"/>
      <color theme="1" tint="0.14999847407452621"/>
      <name val="Calibri"/>
      <family val="2"/>
      <charset val="163"/>
    </font>
    <font>
      <b/>
      <sz val="11"/>
      <color theme="1" tint="0.14999847407452621"/>
      <name val="Calibri"/>
      <family val="2"/>
    </font>
    <font>
      <b/>
      <sz val="11"/>
      <color theme="1" tint="0.14999847407452621"/>
      <name val="Segoe UI"/>
      <family val="2"/>
    </font>
    <font>
      <b/>
      <sz val="11"/>
      <color theme="1" tint="0.14999847407452621"/>
      <name val="Barlow Condensed"/>
      <family val="2"/>
    </font>
    <font>
      <b/>
      <sz val="16"/>
      <color rgb="FF000000"/>
      <name val="Calibri"/>
      <family val="2"/>
    </font>
    <font>
      <b/>
      <sz val="16"/>
      <color rgb="FF000000"/>
      <name val="Barlow Condensed"/>
      <family val="2"/>
    </font>
    <font>
      <b/>
      <sz val="16"/>
      <color rgb="FF000000"/>
      <name val="Calibri"/>
      <family val="2"/>
      <charset val="163"/>
    </font>
    <font>
      <b/>
      <sz val="20"/>
      <color rgb="FF000000"/>
      <name val="Calibri"/>
      <family val="2"/>
    </font>
    <font>
      <i/>
      <sz val="14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Barlow Condensed"/>
      <family val="2"/>
    </font>
    <font>
      <sz val="11"/>
      <color rgb="FF000000"/>
      <name val="Calibri"/>
      <family val="2"/>
      <charset val="163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F15523"/>
      </left>
      <right style="thin">
        <color rgb="FFF15523"/>
      </right>
      <top style="thin">
        <color rgb="FFF15523"/>
      </top>
      <bottom style="thin">
        <color rgb="FFF155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/>
    <xf numFmtId="43" fontId="2" fillId="0" borderId="1" applyFont="0" applyFill="0" applyBorder="0" applyAlignment="0" applyProtection="0"/>
    <xf numFmtId="9" fontId="7" fillId="0" borderId="0" applyFont="0" applyFill="0" applyBorder="0" applyAlignment="0" applyProtection="0"/>
  </cellStyleXfs>
  <cellXfs count="75">
    <xf numFmtId="0" fontId="0" fillId="0" borderId="0" xfId="0"/>
    <xf numFmtId="0" fontId="4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wrapText="1"/>
    </xf>
    <xf numFmtId="176" fontId="3" fillId="2" borderId="0" xfId="1" applyNumberFormat="1" applyFont="1" applyFill="1"/>
    <xf numFmtId="176" fontId="6" fillId="3" borderId="2" xfId="1" applyNumberFormat="1" applyFont="1" applyFill="1" applyBorder="1" applyAlignment="1">
      <alignment horizontal="center" vertical="center"/>
    </xf>
    <xf numFmtId="176" fontId="6" fillId="5" borderId="2" xfId="1" applyNumberFormat="1" applyFont="1" applyFill="1" applyBorder="1" applyAlignment="1">
      <alignment horizontal="center" vertical="center"/>
    </xf>
    <xf numFmtId="9" fontId="4" fillId="2" borderId="0" xfId="0" applyNumberFormat="1" applyFont="1" applyFill="1" applyAlignment="1">
      <alignment horizontal="center" vertical="center"/>
    </xf>
    <xf numFmtId="176" fontId="5" fillId="3" borderId="2" xfId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 wrapText="1" indent="3"/>
    </xf>
    <xf numFmtId="176" fontId="9" fillId="5" borderId="2" xfId="1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3" fontId="12" fillId="0" borderId="3" xfId="0" applyNumberFormat="1" applyFont="1" applyBorder="1"/>
    <xf numFmtId="0" fontId="12" fillId="0" borderId="3" xfId="0" applyFont="1" applyBorder="1"/>
    <xf numFmtId="10" fontId="12" fillId="0" borderId="3" xfId="4" applyNumberFormat="1" applyFont="1" applyBorder="1"/>
    <xf numFmtId="10" fontId="12" fillId="0" borderId="3" xfId="4" applyNumberFormat="1" applyFont="1" applyBorder="1" applyAlignment="1"/>
    <xf numFmtId="0" fontId="14" fillId="0" borderId="3" xfId="0" applyFont="1" applyBorder="1" applyAlignment="1">
      <alignment horizontal="center"/>
    </xf>
    <xf numFmtId="3" fontId="14" fillId="0" borderId="3" xfId="0" applyNumberFormat="1" applyFont="1" applyBorder="1"/>
    <xf numFmtId="3" fontId="12" fillId="0" borderId="3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" fontId="12" fillId="0" borderId="1" xfId="0" applyNumberFormat="1" applyFont="1" applyBorder="1"/>
    <xf numFmtId="0" fontId="12" fillId="5" borderId="3" xfId="0" applyFont="1" applyFill="1" applyBorder="1"/>
    <xf numFmtId="0" fontId="12" fillId="5" borderId="3" xfId="0" applyFont="1" applyFill="1" applyBorder="1" applyAlignment="1">
      <alignment horizontal="left" vertical="center" wrapText="1"/>
    </xf>
    <xf numFmtId="3" fontId="12" fillId="5" borderId="3" xfId="0" applyNumberFormat="1" applyFont="1" applyFill="1" applyBorder="1" applyAlignment="1">
      <alignment vertical="center"/>
    </xf>
    <xf numFmtId="0" fontId="5" fillId="6" borderId="3" xfId="0" applyFont="1" applyFill="1" applyBorder="1" applyAlignment="1">
      <alignment horizontal="center" vertical="center" wrapText="1"/>
    </xf>
    <xf numFmtId="3" fontId="14" fillId="6" borderId="3" xfId="0" applyNumberFormat="1" applyFont="1" applyFill="1" applyBorder="1"/>
    <xf numFmtId="0" fontId="14" fillId="3" borderId="3" xfId="0" applyFont="1" applyFill="1" applyBorder="1" applyAlignment="1">
      <alignment horizontal="center" vertical="center" wrapText="1"/>
    </xf>
    <xf numFmtId="3" fontId="14" fillId="3" borderId="3" xfId="0" applyNumberFormat="1" applyFont="1" applyFill="1" applyBorder="1" applyAlignment="1">
      <alignment vertical="center"/>
    </xf>
    <xf numFmtId="0" fontId="5" fillId="7" borderId="3" xfId="0" applyFont="1" applyFill="1" applyBorder="1" applyAlignment="1">
      <alignment horizontal="center" vertical="center" wrapText="1"/>
    </xf>
    <xf numFmtId="0" fontId="6" fillId="3" borderId="3" xfId="0" quotePrefix="1" applyFont="1" applyFill="1" applyBorder="1" applyAlignment="1">
      <alignment vertical="center" wrapText="1"/>
    </xf>
    <xf numFmtId="1" fontId="6" fillId="3" borderId="3" xfId="0" applyNumberFormat="1" applyFont="1" applyFill="1" applyBorder="1" applyAlignment="1">
      <alignment horizontal="center" vertical="center"/>
    </xf>
    <xf numFmtId="176" fontId="6" fillId="3" borderId="3" xfId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/>
    </xf>
    <xf numFmtId="14" fontId="4" fillId="2" borderId="0" xfId="0" quotePrefix="1" applyNumberFormat="1" applyFont="1" applyFill="1" applyAlignment="1">
      <alignment horizontal="center" vertical="center"/>
    </xf>
    <xf numFmtId="0" fontId="6" fillId="3" borderId="3" xfId="0" applyFont="1" applyFill="1" applyBorder="1" applyAlignment="1">
      <alignment horizontal="left" vertical="center" wrapText="1"/>
    </xf>
    <xf numFmtId="178" fontId="5" fillId="3" borderId="3" xfId="0" applyNumberFormat="1" applyFont="1" applyFill="1" applyBorder="1" applyAlignment="1">
      <alignment vertical="center" wrapText="1"/>
    </xf>
    <xf numFmtId="176" fontId="5" fillId="3" borderId="3" xfId="1" applyNumberFormat="1" applyFont="1" applyFill="1" applyBorder="1" applyAlignment="1">
      <alignment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5" borderId="0" xfId="0" applyFont="1" applyFill="1" applyAlignment="1">
      <alignment horizontal="center"/>
    </xf>
    <xf numFmtId="0" fontId="6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176" fontId="5" fillId="4" borderId="3" xfId="1" applyNumberFormat="1" applyFont="1" applyFill="1" applyBorder="1" applyAlignment="1">
      <alignment horizontal="center" vertical="center" wrapText="1"/>
    </xf>
    <xf numFmtId="176" fontId="6" fillId="5" borderId="3" xfId="1" applyNumberFormat="1" applyFont="1" applyFill="1" applyBorder="1" applyAlignment="1">
      <alignment horizontal="center" vertical="center"/>
    </xf>
    <xf numFmtId="9" fontId="6" fillId="3" borderId="3" xfId="4" applyFont="1" applyFill="1" applyBorder="1" applyAlignment="1">
      <alignment horizontal="right" vertical="center"/>
    </xf>
    <xf numFmtId="176" fontId="9" fillId="5" borderId="3" xfId="1" applyNumberFormat="1" applyFont="1" applyFill="1" applyBorder="1" applyAlignment="1">
      <alignment horizontal="center" vertical="center"/>
    </xf>
    <xf numFmtId="176" fontId="5" fillId="3" borderId="3" xfId="1" applyNumberFormat="1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 wrapText="1"/>
    </xf>
    <xf numFmtId="176" fontId="21" fillId="7" borderId="3" xfId="1" applyNumberFormat="1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176" fontId="23" fillId="3" borderId="2" xfId="1" applyNumberFormat="1" applyFont="1" applyFill="1" applyBorder="1" applyAlignment="1">
      <alignment horizontal="center" vertical="center"/>
    </xf>
    <xf numFmtId="9" fontId="6" fillId="3" borderId="2" xfId="4" applyFont="1" applyFill="1" applyBorder="1" applyAlignment="1">
      <alignment horizontal="center" vertical="center"/>
    </xf>
    <xf numFmtId="176" fontId="5" fillId="8" borderId="3" xfId="1" applyNumberFormat="1" applyFont="1" applyFill="1" applyBorder="1" applyAlignment="1">
      <alignment horizontal="center" vertical="center" wrapText="1"/>
    </xf>
    <xf numFmtId="43" fontId="4" fillId="2" borderId="0" xfId="1" applyFont="1" applyFill="1" applyAlignment="1">
      <alignment horizontal="center" vertical="center"/>
    </xf>
    <xf numFmtId="43" fontId="3" fillId="2" borderId="0" xfId="0" applyNumberFormat="1" applyFont="1" applyFill="1" applyAlignment="1">
      <alignment wrapText="1"/>
    </xf>
    <xf numFmtId="43" fontId="3" fillId="2" borderId="0" xfId="1" applyFont="1" applyFill="1" applyAlignment="1">
      <alignment wrapText="1"/>
    </xf>
    <xf numFmtId="0" fontId="21" fillId="4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left" vertical="center" wrapText="1" indent="3"/>
    </xf>
    <xf numFmtId="0" fontId="17" fillId="3" borderId="3" xfId="0" applyFont="1" applyFill="1" applyBorder="1" applyAlignment="1">
      <alignment horizontal="left" vertical="center" indent="3"/>
    </xf>
    <xf numFmtId="0" fontId="21" fillId="3" borderId="3" xfId="0" applyFont="1" applyFill="1" applyBorder="1" applyAlignment="1">
      <alignment horizontal="center" vertical="center" wrapText="1"/>
    </xf>
    <xf numFmtId="0" fontId="29" fillId="5" borderId="0" xfId="0" applyFont="1" applyFill="1" applyAlignment="1">
      <alignment horizontal="center"/>
    </xf>
    <xf numFmtId="3" fontId="12" fillId="0" borderId="0" xfId="0" applyNumberFormat="1" applyFont="1"/>
  </cellXfs>
  <cellStyles count="5">
    <cellStyle name="Comma 2" xfId="3" xr:uid="{D6D2197E-31C9-D94B-9CBA-6AE0EDE6E6A0}"/>
    <cellStyle name="Normal 2" xfId="2" xr:uid="{029EF8ED-C5CE-B94F-ACB7-D194A7F3A175}"/>
    <cellStyle name="千位分隔" xfId="1" builtinId="3"/>
    <cellStyle name="常规" xfId="0" builtinId="0"/>
    <cellStyle name="百分比" xfId="4" builtinId="5"/>
  </cellStyles>
  <dxfs count="0"/>
  <tableStyles count="0" defaultTableStyle="TableStyleMedium2" defaultPivotStyle="PivotStyleLight16"/>
  <colors>
    <mruColors>
      <color rgb="FFF15523"/>
      <color rgb="FF071439"/>
      <color rgb="FF071339"/>
      <color rgb="FFD9D9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Total!$A$17</c:f>
              <c:strCache>
                <c:ptCount val="1"/>
                <c:pt idx="0">
                  <c:v>UNIT COST (VND/kWp), EXCLUDING VAT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Total!$B$16:$H$16</c:f>
              <c:strCache>
                <c:ptCount val="7"/>
                <c:pt idx="0">
                  <c:v>OG1P_5.58 kW</c:v>
                </c:pt>
                <c:pt idx="1">
                  <c:v>OG1P_8.68 kW</c:v>
                </c:pt>
                <c:pt idx="2">
                  <c:v>OG1P_11.16kW</c:v>
                </c:pt>
                <c:pt idx="3">
                  <c:v>OG3P_8.68kW</c:v>
                </c:pt>
                <c:pt idx="4">
                  <c:v>OG3P_11.16kW</c:v>
                </c:pt>
                <c:pt idx="5">
                  <c:v>OG3P_14.88kW</c:v>
                </c:pt>
                <c:pt idx="6">
                  <c:v>OG3P_16.74kW</c:v>
                </c:pt>
              </c:strCache>
            </c:strRef>
          </c:cat>
          <c:val>
            <c:numRef>
              <c:f>Total!$B$17:$H$17</c:f>
              <c:numCache>
                <c:formatCode>#,##0</c:formatCode>
                <c:ptCount val="7"/>
                <c:pt idx="0">
                  <c:v>6529769.6318018902</c:v>
                </c:pt>
                <c:pt idx="1">
                  <c:v>6236254.2940930044</c:v>
                </c:pt>
                <c:pt idx="2">
                  <c:v>5830685.2394916909</c:v>
                </c:pt>
                <c:pt idx="3">
                  <c:v>6811578.9694176791</c:v>
                </c:pt>
                <c:pt idx="4">
                  <c:v>6195722.7109807748</c:v>
                </c:pt>
                <c:pt idx="5">
                  <c:v>6070886.8523949161</c:v>
                </c:pt>
                <c:pt idx="6">
                  <c:v>5703011.7302052788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F-48B1-A0C4-DF7A1D7D5B80}"/>
            </c:ext>
          </c:extLst>
        </c:ser>
        <c:ser>
          <c:idx val="1"/>
          <c:order val="1"/>
          <c:tx>
            <c:strRef>
              <c:f>Total!$A$18</c:f>
              <c:strCache>
                <c:ptCount val="1"/>
                <c:pt idx="0">
                  <c:v>UNIT PRICE (VND/KW), EXCLUDING VAT</c:v>
                </c:pt>
              </c:strCache>
            </c:strRef>
          </c:tx>
          <c:spPr>
            <a:ln w="2540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Total!$B$16:$H$16</c:f>
              <c:strCache>
                <c:ptCount val="7"/>
                <c:pt idx="0">
                  <c:v>OG1P_5.58 kW</c:v>
                </c:pt>
                <c:pt idx="1">
                  <c:v>OG1P_8.68 kW</c:v>
                </c:pt>
                <c:pt idx="2">
                  <c:v>OG1P_11.16kW</c:v>
                </c:pt>
                <c:pt idx="3">
                  <c:v>OG3P_8.68kW</c:v>
                </c:pt>
                <c:pt idx="4">
                  <c:v>OG3P_11.16kW</c:v>
                </c:pt>
                <c:pt idx="5">
                  <c:v>OG3P_14.88kW</c:v>
                </c:pt>
                <c:pt idx="6">
                  <c:v>OG3P_16.74kW</c:v>
                </c:pt>
              </c:strCache>
            </c:strRef>
          </c:cat>
          <c:val>
            <c:numRef>
              <c:f>Total!$B$18:$H$18</c:f>
              <c:numCache>
                <c:formatCode>#,##0</c:formatCode>
                <c:ptCount val="7"/>
                <c:pt idx="0">
                  <c:v>7874226.1322906474</c:v>
                </c:pt>
                <c:pt idx="1">
                  <c:v>7605152.9116045237</c:v>
                </c:pt>
                <c:pt idx="2">
                  <c:v>7062235.2557836426</c:v>
                </c:pt>
                <c:pt idx="3">
                  <c:v>8123586.0913280267</c:v>
                </c:pt>
                <c:pt idx="4">
                  <c:v>7371782.3395242747</c:v>
                </c:pt>
                <c:pt idx="5">
                  <c:v>7064027.3704789821</c:v>
                </c:pt>
                <c:pt idx="6">
                  <c:v>6737699.5764092542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7F-48B1-A0C4-DF7A1D7D5B80}"/>
            </c:ext>
          </c:extLst>
        </c:ser>
        <c:ser>
          <c:idx val="2"/>
          <c:order val="2"/>
          <c:tx>
            <c:strRef>
              <c:f>Total!$A$19</c:f>
              <c:strCache>
                <c:ptCount val="1"/>
              </c:strCache>
            </c:strRef>
          </c:tx>
          <c:spPr>
            <a:ln w="254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Total!$B$16:$H$16</c:f>
              <c:strCache>
                <c:ptCount val="7"/>
                <c:pt idx="0">
                  <c:v>OG1P_5.58 kW</c:v>
                </c:pt>
                <c:pt idx="1">
                  <c:v>OG1P_8.68 kW</c:v>
                </c:pt>
                <c:pt idx="2">
                  <c:v>OG1P_11.16kW</c:v>
                </c:pt>
                <c:pt idx="3">
                  <c:v>OG3P_8.68kW</c:v>
                </c:pt>
                <c:pt idx="4">
                  <c:v>OG3P_11.16kW</c:v>
                </c:pt>
                <c:pt idx="5">
                  <c:v>OG3P_14.88kW</c:v>
                </c:pt>
                <c:pt idx="6">
                  <c:v>OG3P_16.74kW</c:v>
                </c:pt>
              </c:strCache>
            </c:strRef>
          </c:cat>
          <c:val>
            <c:numRef>
              <c:f>Total!$B$19:$H$19</c:f>
              <c:numCache>
                <c:formatCode>#,##0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7F-48B1-A0C4-DF7A1D7D5B80}"/>
            </c:ext>
          </c:extLst>
        </c:ser>
        <c:ser>
          <c:idx val="3"/>
          <c:order val="3"/>
          <c:tx>
            <c:strRef>
              <c:f>Total!$A$20</c:f>
              <c:strCache>
                <c:ptCount val="1"/>
              </c:strCache>
            </c:strRef>
          </c:tx>
          <c:spPr>
            <a:ln w="2540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Total!$B$16:$H$16</c:f>
              <c:strCache>
                <c:ptCount val="7"/>
                <c:pt idx="0">
                  <c:v>OG1P_5.58 kW</c:v>
                </c:pt>
                <c:pt idx="1">
                  <c:v>OG1P_8.68 kW</c:v>
                </c:pt>
                <c:pt idx="2">
                  <c:v>OG1P_11.16kW</c:v>
                </c:pt>
                <c:pt idx="3">
                  <c:v>OG3P_8.68kW</c:v>
                </c:pt>
                <c:pt idx="4">
                  <c:v>OG3P_11.16kW</c:v>
                </c:pt>
                <c:pt idx="5">
                  <c:v>OG3P_14.88kW</c:v>
                </c:pt>
                <c:pt idx="6">
                  <c:v>OG3P_16.74kW</c:v>
                </c:pt>
              </c:strCache>
            </c:strRef>
          </c:cat>
          <c:val>
            <c:numRef>
              <c:f>Total!$B$20:$H$20</c:f>
              <c:numCache>
                <c:formatCode>#,##0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7F-48B1-A0C4-DF7A1D7D5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951935"/>
        <c:axId val="783592719"/>
      </c:lineChart>
      <c:catAx>
        <c:axId val="77795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3592719"/>
        <c:crosses val="autoZero"/>
        <c:auto val="1"/>
        <c:lblAlgn val="ctr"/>
        <c:lblOffset val="100"/>
        <c:noMultiLvlLbl val="0"/>
      </c:catAx>
      <c:valAx>
        <c:axId val="78359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795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761999</xdr:colOff>
      <xdr:row>0</xdr:row>
      <xdr:rowOff>329672</xdr:rowOff>
    </xdr:from>
    <xdr:to>
      <xdr:col>24</xdr:col>
      <xdr:colOff>298571</xdr:colOff>
      <xdr:row>18</xdr:row>
      <xdr:rowOff>152606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C00CB6A-DA4F-A29E-4880-AD4847A19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1E1A-D68C-4B64-AAF2-21B4CC71721C}">
  <dimension ref="A1:Q81"/>
  <sheetViews>
    <sheetView tabSelected="1" topLeftCell="A10" zoomScale="80" zoomScaleNormal="80" workbookViewId="0">
      <selection activeCell="C26" sqref="C26"/>
    </sheetView>
  </sheetViews>
  <sheetFormatPr defaultRowHeight="14.5" x14ac:dyDescent="0.35"/>
  <cols>
    <col min="1" max="1" width="39.453125" style="17" customWidth="1"/>
    <col min="2" max="2" width="25.453125" style="16" customWidth="1"/>
    <col min="3" max="3" width="23.453125" style="16" customWidth="1"/>
    <col min="4" max="4" width="24.1796875" style="16" customWidth="1"/>
    <col min="5" max="5" width="23.36328125" style="16" customWidth="1"/>
    <col min="6" max="7" width="23.90625" style="16" customWidth="1"/>
    <col min="8" max="8" width="22.453125" style="16" customWidth="1"/>
    <col min="9" max="9" width="22.7265625" style="16" customWidth="1"/>
    <col min="10" max="10" width="32.81640625" style="16" customWidth="1"/>
    <col min="11" max="17" width="10.81640625" style="16" bestFit="1" customWidth="1"/>
    <col min="18" max="19" width="8.7265625" style="16"/>
    <col min="20" max="20" width="21.453125" style="16" bestFit="1" customWidth="1"/>
    <col min="21" max="27" width="10.81640625" style="16" bestFit="1" customWidth="1"/>
    <col min="28" max="16384" width="8.7265625" style="16"/>
  </cols>
  <sheetData>
    <row r="1" spans="1:17" ht="26" x14ac:dyDescent="0.6">
      <c r="A1" s="46" t="s">
        <v>113</v>
      </c>
      <c r="B1" s="47"/>
      <c r="C1" s="47"/>
      <c r="D1" s="47"/>
      <c r="E1" s="47"/>
      <c r="F1" s="47"/>
      <c r="G1" s="47"/>
      <c r="H1" s="47"/>
      <c r="I1" s="47"/>
    </row>
    <row r="2" spans="1:17" ht="18.5" x14ac:dyDescent="0.45">
      <c r="A2" s="48" t="s">
        <v>114</v>
      </c>
      <c r="B2" s="48"/>
      <c r="C2" s="48"/>
      <c r="D2" s="48"/>
      <c r="E2" s="48"/>
      <c r="F2" s="48"/>
      <c r="G2" s="48"/>
      <c r="H2" s="48"/>
      <c r="I2" s="48"/>
    </row>
    <row r="4" spans="1:17" x14ac:dyDescent="0.35">
      <c r="Q4" s="17"/>
    </row>
    <row r="16" spans="1:17" x14ac:dyDescent="0.35">
      <c r="A16" s="16"/>
      <c r="B16" s="11" t="s">
        <v>125</v>
      </c>
      <c r="C16" s="11" t="s">
        <v>126</v>
      </c>
      <c r="D16" s="11" t="s">
        <v>127</v>
      </c>
      <c r="E16" s="11" t="s">
        <v>128</v>
      </c>
      <c r="F16" s="11" t="s">
        <v>129</v>
      </c>
      <c r="G16" s="11" t="s">
        <v>130</v>
      </c>
      <c r="H16" s="11" t="s">
        <v>131</v>
      </c>
    </row>
    <row r="17" spans="1:8" x14ac:dyDescent="0.35">
      <c r="A17" s="23" t="s">
        <v>147</v>
      </c>
      <c r="B17" s="19">
        <v>6529769.6318018902</v>
      </c>
      <c r="C17" s="19">
        <v>6236254.2940930044</v>
      </c>
      <c r="D17" s="19">
        <v>5830685.2394916909</v>
      </c>
      <c r="E17" s="19">
        <v>6811578.9694176791</v>
      </c>
      <c r="F17" s="19">
        <v>6195722.7109807748</v>
      </c>
      <c r="G17" s="19">
        <v>6070886.8523949161</v>
      </c>
      <c r="H17" s="19">
        <v>5703011.7302052788</v>
      </c>
    </row>
    <row r="18" spans="1:8" x14ac:dyDescent="0.35">
      <c r="A18" s="33" t="s">
        <v>148</v>
      </c>
      <c r="B18" s="19">
        <v>7874226.1322906474</v>
      </c>
      <c r="C18" s="19">
        <v>7605152.9116045237</v>
      </c>
      <c r="D18" s="19">
        <v>7062235.2557836426</v>
      </c>
      <c r="E18" s="19">
        <v>8123586.0913280267</v>
      </c>
      <c r="F18" s="19">
        <v>7371782.3395242747</v>
      </c>
      <c r="G18" s="19">
        <v>7064027.3704789821</v>
      </c>
      <c r="H18" s="19">
        <v>6737699.5764092542</v>
      </c>
    </row>
    <row r="19" spans="1:8" x14ac:dyDescent="0.35">
      <c r="A19" s="18"/>
      <c r="B19" s="19"/>
      <c r="C19" s="19"/>
      <c r="D19" s="19"/>
      <c r="E19" s="19"/>
      <c r="F19" s="19"/>
      <c r="G19" s="19"/>
      <c r="H19" s="19"/>
    </row>
    <row r="20" spans="1:8" x14ac:dyDescent="0.35">
      <c r="A20" s="18"/>
      <c r="B20" s="19"/>
      <c r="C20" s="19"/>
      <c r="D20" s="19"/>
      <c r="E20" s="19"/>
      <c r="F20" s="19"/>
      <c r="G20" s="19"/>
      <c r="H20" s="19"/>
    </row>
    <row r="22" spans="1:8" x14ac:dyDescent="0.35">
      <c r="A22" s="15" t="s">
        <v>115</v>
      </c>
      <c r="B22" s="20"/>
      <c r="C22" s="20"/>
      <c r="D22" s="20"/>
      <c r="E22" s="20"/>
      <c r="F22" s="20"/>
      <c r="G22" s="20"/>
      <c r="H22" s="20"/>
    </row>
    <row r="23" spans="1:8" x14ac:dyDescent="0.35">
      <c r="A23" s="69" t="s">
        <v>116</v>
      </c>
      <c r="B23" s="11" t="s">
        <v>125</v>
      </c>
      <c r="C23" s="11" t="s">
        <v>126</v>
      </c>
      <c r="D23" s="11" t="s">
        <v>127</v>
      </c>
      <c r="E23" s="11" t="s">
        <v>128</v>
      </c>
      <c r="F23" s="11" t="s">
        <v>129</v>
      </c>
      <c r="G23" s="11" t="s">
        <v>130</v>
      </c>
      <c r="H23" s="11" t="s">
        <v>131</v>
      </c>
    </row>
    <row r="24" spans="1:8" x14ac:dyDescent="0.35">
      <c r="A24" s="12" t="s">
        <v>117</v>
      </c>
      <c r="B24" s="21">
        <f>B53/$B$60</f>
        <v>0.34693216216098882</v>
      </c>
      <c r="C24" s="21">
        <f t="shared" ref="C24:C30" si="0">C53/$C$60</f>
        <v>0.36326085979527389</v>
      </c>
      <c r="D24" s="21">
        <f t="shared" ref="D24:D30" si="1">D53/$D$60</f>
        <v>0.38852844969756695</v>
      </c>
      <c r="E24" s="21">
        <f t="shared" ref="E24:E30" si="2">E53/$E$60</f>
        <v>0.33257884947751859</v>
      </c>
      <c r="F24" s="21">
        <f t="shared" ref="F24:F30" si="3">F53/$F$60</f>
        <v>0.36563726339127683</v>
      </c>
      <c r="G24" s="21">
        <f>G53/$G$60</f>
        <v>0.37315587522118226</v>
      </c>
      <c r="H24" s="21">
        <f>H53/$H$60</f>
        <v>0.3972264487509044</v>
      </c>
    </row>
    <row r="25" spans="1:8" x14ac:dyDescent="0.35">
      <c r="A25" s="12" t="s">
        <v>23</v>
      </c>
      <c r="B25" s="21">
        <f t="shared" ref="B25:B30" si="4">B54/$B$60</f>
        <v>0.23355948092060308</v>
      </c>
      <c r="C25" s="21">
        <f t="shared" si="0"/>
        <v>0.25530804606951568</v>
      </c>
      <c r="D25" s="21">
        <f t="shared" si="1"/>
        <v>0.21238520064380015</v>
      </c>
      <c r="E25" s="21">
        <f t="shared" si="2"/>
        <v>0.27250967895852934</v>
      </c>
      <c r="F25" s="21">
        <f t="shared" si="3"/>
        <v>0.23302004720249461</v>
      </c>
      <c r="G25" s="21">
        <f t="shared" ref="G24:H30" si="5">G54/$G$60</f>
        <v>0.23867879120696428</v>
      </c>
      <c r="H25" s="21">
        <f t="shared" ref="H25:H30" si="6">H54/$H$60</f>
        <v>0.22584432445045272</v>
      </c>
    </row>
    <row r="26" spans="1:8" x14ac:dyDescent="0.35">
      <c r="A26" s="70" t="s">
        <v>118</v>
      </c>
      <c r="B26" s="22">
        <f t="shared" si="4"/>
        <v>7.0117245811510784E-2</v>
      </c>
      <c r="C26" s="22">
        <f t="shared" si="0"/>
        <v>6.1377384389389208E-2</v>
      </c>
      <c r="D26" s="22">
        <f t="shared" si="1"/>
        <v>7.7024213142310158E-2</v>
      </c>
      <c r="E26" s="22">
        <f t="shared" si="2"/>
        <v>5.6193281862699729E-2</v>
      </c>
      <c r="F26" s="22">
        <f t="shared" si="3"/>
        <v>7.2486126897896172E-2</v>
      </c>
      <c r="G26" s="22">
        <f t="shared" si="5"/>
        <v>7.0794425375760778E-2</v>
      </c>
      <c r="H26" s="21">
        <f t="shared" si="6"/>
        <v>7.6624293966882417E-2</v>
      </c>
    </row>
    <row r="27" spans="1:8" x14ac:dyDescent="0.35">
      <c r="A27" s="70" t="s">
        <v>119</v>
      </c>
      <c r="B27" s="21">
        <f t="shared" si="4"/>
        <v>6.8064337565581154E-2</v>
      </c>
      <c r="C27" s="21">
        <f t="shared" si="0"/>
        <v>6.6875190070307289E-2</v>
      </c>
      <c r="D27" s="21">
        <f t="shared" si="1"/>
        <v>6.3008634054962417E-2</v>
      </c>
      <c r="E27" s="21">
        <f t="shared" si="2"/>
        <v>8.2445433024263937E-2</v>
      </c>
      <c r="F27" s="21">
        <f t="shared" si="3"/>
        <v>7.7440195789851354E-2</v>
      </c>
      <c r="G27" s="21">
        <f t="shared" si="5"/>
        <v>5.9274450932408254E-2</v>
      </c>
      <c r="H27" s="21">
        <f t="shared" si="6"/>
        <v>5.608708784013082E-2</v>
      </c>
    </row>
    <row r="28" spans="1:8" x14ac:dyDescent="0.35">
      <c r="A28" s="70" t="s">
        <v>120</v>
      </c>
      <c r="B28" s="21">
        <f t="shared" si="4"/>
        <v>4.2964365574754672E-2</v>
      </c>
      <c r="C28" s="21">
        <f t="shared" si="0"/>
        <v>3.6443787657600903E-2</v>
      </c>
      <c r="D28" s="21">
        <f t="shared" si="1"/>
        <v>3.0316792882321159E-2</v>
      </c>
      <c r="E28" s="21">
        <f t="shared" si="2"/>
        <v>4.228365177484629E-2</v>
      </c>
      <c r="F28" s="21">
        <f t="shared" si="3"/>
        <v>3.6156288356891546E-2</v>
      </c>
      <c r="G28" s="21">
        <f t="shared" si="5"/>
        <v>3.7738402546100322E-2</v>
      </c>
      <c r="H28" s="21">
        <f t="shared" si="6"/>
        <v>3.5709096672409256E-2</v>
      </c>
    </row>
    <row r="29" spans="1:8" x14ac:dyDescent="0.35">
      <c r="A29" s="71" t="s">
        <v>121</v>
      </c>
      <c r="B29" s="21">
        <f t="shared" si="4"/>
        <v>2.5249673613038173E-2</v>
      </c>
      <c r="C29" s="21">
        <f t="shared" si="0"/>
        <v>1.6995904658752128E-2</v>
      </c>
      <c r="D29" s="21">
        <f t="shared" si="1"/>
        <v>2.8277045527105086E-2</v>
      </c>
      <c r="E29" s="21">
        <f t="shared" si="2"/>
        <v>3.112076770628687E-2</v>
      </c>
      <c r="F29" s="21">
        <f t="shared" si="3"/>
        <v>2.6611028230672178E-2</v>
      </c>
      <c r="G29" s="21">
        <f t="shared" si="5"/>
        <v>2.0368673800881885E-2</v>
      </c>
      <c r="H29" s="21">
        <f t="shared" si="6"/>
        <v>1.9273389777321692E-2</v>
      </c>
    </row>
    <row r="30" spans="1:8" x14ac:dyDescent="0.35">
      <c r="A30" s="12" t="s">
        <v>122</v>
      </c>
      <c r="B30" s="21">
        <f t="shared" si="4"/>
        <v>0.21311273435352326</v>
      </c>
      <c r="C30" s="21">
        <f t="shared" si="0"/>
        <v>0.19973882735916088</v>
      </c>
      <c r="D30" s="21">
        <f t="shared" si="1"/>
        <v>0.20045966405193408</v>
      </c>
      <c r="E30" s="21">
        <f t="shared" si="2"/>
        <v>0.18286833719585524</v>
      </c>
      <c r="F30" s="21">
        <f t="shared" si="3"/>
        <v>0.18864905013091732</v>
      </c>
      <c r="G30" s="21">
        <f>G59/$G$60</f>
        <v>0.19998938091670224</v>
      </c>
      <c r="H30" s="21">
        <f t="shared" si="6"/>
        <v>0.18923535854189874</v>
      </c>
    </row>
    <row r="31" spans="1:8" x14ac:dyDescent="0.35">
      <c r="A31" s="23" t="s">
        <v>147</v>
      </c>
      <c r="B31" s="24">
        <f>B60/5.58</f>
        <v>6529769.6318018902</v>
      </c>
      <c r="C31" s="24">
        <f>C60/8.68</f>
        <v>6236254.2940930044</v>
      </c>
      <c r="D31" s="24">
        <f>D60/11.16</f>
        <v>5830685.2394916909</v>
      </c>
      <c r="E31" s="24">
        <f>E60/8.68</f>
        <v>6811578.9694176791</v>
      </c>
      <c r="F31" s="24">
        <f>F60/11.16</f>
        <v>6195722.7109807748</v>
      </c>
      <c r="G31" s="24">
        <f>G60/14.88</f>
        <v>6070886.8523949161</v>
      </c>
      <c r="H31" s="24">
        <f>H60/16.74</f>
        <v>5703011.7302052788</v>
      </c>
    </row>
    <row r="32" spans="1:8" x14ac:dyDescent="0.35">
      <c r="A32" s="33" t="s">
        <v>148</v>
      </c>
      <c r="B32" s="34">
        <f>B62</f>
        <v>7874226.1322906474</v>
      </c>
      <c r="C32" s="34">
        <f t="shared" ref="C32:H32" si="7">C62</f>
        <v>7605152.9116045237</v>
      </c>
      <c r="D32" s="34">
        <f t="shared" si="7"/>
        <v>7062235.2557836426</v>
      </c>
      <c r="E32" s="34">
        <f t="shared" si="7"/>
        <v>8123586.0913280267</v>
      </c>
      <c r="F32" s="34">
        <f t="shared" si="7"/>
        <v>7371782.3395242747</v>
      </c>
      <c r="G32" s="34">
        <f t="shared" si="7"/>
        <v>7064027.3704789821</v>
      </c>
      <c r="H32" s="34">
        <f>H62</f>
        <v>6737699.5764092542</v>
      </c>
    </row>
    <row r="33" spans="1:9" x14ac:dyDescent="0.35">
      <c r="A33" s="16"/>
    </row>
    <row r="34" spans="1:9" x14ac:dyDescent="0.35">
      <c r="A34" s="72" t="s">
        <v>123</v>
      </c>
      <c r="B34" s="20"/>
      <c r="C34" s="20"/>
      <c r="D34" s="20"/>
      <c r="E34" s="20"/>
      <c r="F34" s="20"/>
      <c r="G34" s="20"/>
      <c r="H34" s="20"/>
      <c r="I34" s="20"/>
    </row>
    <row r="35" spans="1:9" x14ac:dyDescent="0.35">
      <c r="A35" s="69" t="s">
        <v>116</v>
      </c>
      <c r="B35" s="69" t="s">
        <v>135</v>
      </c>
      <c r="C35" s="69" t="s">
        <v>136</v>
      </c>
      <c r="D35" s="69" t="s">
        <v>137</v>
      </c>
      <c r="E35" s="69" t="s">
        <v>138</v>
      </c>
      <c r="F35" s="69" t="s">
        <v>139</v>
      </c>
      <c r="G35" s="69" t="s">
        <v>140</v>
      </c>
      <c r="H35" s="69" t="s">
        <v>141</v>
      </c>
      <c r="I35" s="69" t="s">
        <v>142</v>
      </c>
    </row>
    <row r="36" spans="1:9" x14ac:dyDescent="0.35">
      <c r="A36" s="12" t="s">
        <v>117</v>
      </c>
      <c r="B36" s="21">
        <f>B66/$B$74</f>
        <v>0.18984876292536496</v>
      </c>
      <c r="C36" s="21">
        <f>C66/$C$74</f>
        <v>0.25012751580342546</v>
      </c>
      <c r="D36" s="21">
        <f>D66/$D$74</f>
        <v>0.25219567064775239</v>
      </c>
      <c r="E36" s="21">
        <f>E66/$E$74</f>
        <v>0.23911908496535109</v>
      </c>
      <c r="F36" s="21">
        <f>F66/$F$74</f>
        <v>0.21910821397260005</v>
      </c>
      <c r="G36" s="21">
        <f>G66/$G$74</f>
        <v>0.23108977775508693</v>
      </c>
      <c r="H36" s="21">
        <f>H66/$H$74</f>
        <v>0.17759448542267386</v>
      </c>
      <c r="I36" s="21">
        <f>I66/$I$74</f>
        <v>0.19695711013396169</v>
      </c>
    </row>
    <row r="37" spans="1:9" x14ac:dyDescent="0.35">
      <c r="A37" s="12" t="s">
        <v>23</v>
      </c>
      <c r="B37" s="21">
        <f>B67/$B$74</f>
        <v>0.27624774812278374</v>
      </c>
      <c r="C37" s="21">
        <f>C67/$C$74</f>
        <v>0.23397363296513526</v>
      </c>
      <c r="D37" s="21">
        <f>D67/$D$74</f>
        <v>0.28228613170893418</v>
      </c>
      <c r="E37" s="21">
        <f>E67/$E$74</f>
        <v>0.20073699522461597</v>
      </c>
      <c r="F37" s="21">
        <f>F67/$F$74</f>
        <v>0.35769692720691043</v>
      </c>
      <c r="G37" s="21">
        <f>G67/$G$74</f>
        <v>0.25150465429305863</v>
      </c>
      <c r="H37" s="21">
        <f>H67/$H$74</f>
        <v>0.21865727421279998</v>
      </c>
      <c r="I37" s="21">
        <f t="shared" ref="I37:I43" si="8">I67/$I$74</f>
        <v>0.21435664691019199</v>
      </c>
    </row>
    <row r="38" spans="1:9" x14ac:dyDescent="0.35">
      <c r="A38" s="70" t="s">
        <v>124</v>
      </c>
      <c r="B38" s="21">
        <f>B68/$B$74</f>
        <v>0.24439453819986301</v>
      </c>
      <c r="C38" s="21">
        <f>C68/$C$74</f>
        <v>0.20699491079305693</v>
      </c>
      <c r="D38" s="21">
        <f>D68/$D$74</f>
        <v>0.16232722171645855</v>
      </c>
      <c r="E38" s="21">
        <f>E68/$E$74</f>
        <v>0.30805725590721877</v>
      </c>
      <c r="F38" s="21">
        <f>F68/$F$74</f>
        <v>0.14103028627761449</v>
      </c>
      <c r="G38" s="21">
        <f>G68/$G$74</f>
        <v>0.26463386201716765</v>
      </c>
      <c r="H38" s="21">
        <f>H68/$H$74</f>
        <v>0.37504448181201899</v>
      </c>
      <c r="I38" s="21">
        <f t="shared" si="8"/>
        <v>0.37324969181038342</v>
      </c>
    </row>
    <row r="39" spans="1:9" x14ac:dyDescent="0.35">
      <c r="A39" s="70" t="s">
        <v>118</v>
      </c>
      <c r="B39" s="22">
        <f>B69/$B$74</f>
        <v>3.8369669430855367E-2</v>
      </c>
      <c r="C39" s="22">
        <f>C69/$C$74</f>
        <v>4.2262116244733951E-2</v>
      </c>
      <c r="D39" s="22">
        <f>D69/$D$74</f>
        <v>4.9996784288669244E-2</v>
      </c>
      <c r="E39" s="22">
        <f>E69/$E$74</f>
        <v>4.5365219578723678E-2</v>
      </c>
      <c r="F39" s="22">
        <f>F69/$F$74</f>
        <v>4.3437328173505263E-2</v>
      </c>
      <c r="G39" s="22">
        <f>G69/$G$74</f>
        <v>4.4576817880903986E-2</v>
      </c>
      <c r="H39" s="22">
        <f>H69/$H$74</f>
        <v>3.520739731863344E-2</v>
      </c>
      <c r="I39" s="21">
        <f t="shared" si="8"/>
        <v>3.7992685414651547E-2</v>
      </c>
    </row>
    <row r="40" spans="1:9" x14ac:dyDescent="0.35">
      <c r="A40" s="70" t="s">
        <v>119</v>
      </c>
      <c r="B40" s="21">
        <f>B70/$B$74</f>
        <v>3.3641795649411312E-2</v>
      </c>
      <c r="C40" s="21">
        <f>C70/$C$74</f>
        <v>3.6634630021922035E-2</v>
      </c>
      <c r="D40" s="21">
        <f>D70/$D$74</f>
        <v>3.8904121852715488E-2</v>
      </c>
      <c r="E40" s="21">
        <f>E70/$E$74</f>
        <v>2.7948924996899438E-2</v>
      </c>
      <c r="F40" s="21">
        <f>F70/$F$74</f>
        <v>4.4672721966149402E-2</v>
      </c>
      <c r="G40" s="21">
        <f>G70/$G$74</f>
        <v>3.1654132040320207E-2</v>
      </c>
      <c r="H40" s="21">
        <f>H70/$H$74</f>
        <v>3.6208725022972434E-2</v>
      </c>
      <c r="I40" s="21">
        <f t="shared" si="8"/>
        <v>2.6978719833586726E-2</v>
      </c>
    </row>
    <row r="41" spans="1:9" x14ac:dyDescent="0.35">
      <c r="A41" s="70" t="s">
        <v>120</v>
      </c>
      <c r="B41" s="21">
        <f>B71/$B$74</f>
        <v>8.2329556723194086E-2</v>
      </c>
      <c r="C41" s="21">
        <f>C71/$C$74</f>
        <v>6.9730687825817511E-2</v>
      </c>
      <c r="D41" s="21">
        <f>D71/$D$74</f>
        <v>5.4683416030739951E-2</v>
      </c>
      <c r="E41" s="21">
        <f>E71/$E$74</f>
        <v>3.8886021626973605E-2</v>
      </c>
      <c r="F41" s="21">
        <f>F71/$F$74</f>
        <v>5.538787220847094E-2</v>
      </c>
      <c r="G41" s="21">
        <f>G71/$G$74</f>
        <v>3.8944443164762171E-2</v>
      </c>
      <c r="H41" s="21">
        <f>H71/$H$74</f>
        <v>4.4893710213667753E-2</v>
      </c>
      <c r="I41" s="21">
        <f t="shared" si="8"/>
        <v>3.31922296867544E-2</v>
      </c>
    </row>
    <row r="42" spans="1:9" x14ac:dyDescent="0.35">
      <c r="A42" s="71" t="s">
        <v>121</v>
      </c>
      <c r="B42" s="21">
        <f>B72/$B$74</f>
        <v>1.3817166070293933E-2</v>
      </c>
      <c r="C42" s="21">
        <f>C72/$C$74</f>
        <v>1.1702729034780651E-2</v>
      </c>
      <c r="D42" s="21">
        <f>D72/$D$74</f>
        <v>1.8354765181793974E-2</v>
      </c>
      <c r="E42" s="21">
        <f>E72/$E$74</f>
        <v>1.3052289846267757E-2</v>
      </c>
      <c r="F42" s="21">
        <f>F72/$F$74</f>
        <v>1.5946664772396188E-2</v>
      </c>
      <c r="G42" s="21">
        <f>G72/$G$74</f>
        <v>1.1212454191390987E-2</v>
      </c>
      <c r="H42" s="21">
        <f>H72/$H$74</f>
        <v>1.292530148968187E-2</v>
      </c>
      <c r="I42" s="21">
        <f t="shared" si="8"/>
        <v>9.5563403820755205E-3</v>
      </c>
    </row>
    <row r="43" spans="1:9" x14ac:dyDescent="0.35">
      <c r="A43" s="12" t="s">
        <v>122</v>
      </c>
      <c r="B43" s="21">
        <f>B73/$B$74</f>
        <v>0.12135076287823367</v>
      </c>
      <c r="C43" s="21">
        <f>C73/$C$74</f>
        <v>0.14857377731112825</v>
      </c>
      <c r="D43" s="21">
        <f>D73/$D$74</f>
        <v>0.14125188857293625</v>
      </c>
      <c r="E43" s="21">
        <f>E73/$E$74</f>
        <v>0.12683420785394972</v>
      </c>
      <c r="F43" s="21">
        <f>F73/$F$74</f>
        <v>0.12271998542235325</v>
      </c>
      <c r="G43" s="21">
        <f>G73/$G$74</f>
        <v>0.12638385865730925</v>
      </c>
      <c r="H43" s="21">
        <f>H73/$H$74</f>
        <v>9.946862450755177E-2</v>
      </c>
      <c r="I43" s="21">
        <f>I73/$I$74</f>
        <v>0.10771657582839472</v>
      </c>
    </row>
    <row r="44" spans="1:9" x14ac:dyDescent="0.35">
      <c r="A44" s="23" t="s">
        <v>147</v>
      </c>
      <c r="B44" s="24">
        <f>B74/3.3</f>
        <v>20176921.763085399</v>
      </c>
      <c r="C44" s="24">
        <f>C74/5.5</f>
        <v>14293480.330578512</v>
      </c>
      <c r="D44" s="24">
        <f>D74/6.6</f>
        <v>15188855.647382921</v>
      </c>
      <c r="E44" s="24">
        <f>E74/8.8</f>
        <v>16019480.991735535</v>
      </c>
      <c r="F44" s="24">
        <f>F74/11</f>
        <v>10489511.735537188</v>
      </c>
      <c r="G44" s="24">
        <f>G74/13.2</f>
        <v>12432063.223140499</v>
      </c>
      <c r="H44" s="24">
        <f>H74/16.5</f>
        <v>8627663.4710743781</v>
      </c>
      <c r="I44" s="24">
        <f>I74/16.5</f>
        <v>11669231.845730027</v>
      </c>
    </row>
    <row r="45" spans="1:9" x14ac:dyDescent="0.35">
      <c r="A45" s="33" t="s">
        <v>148</v>
      </c>
      <c r="B45" s="34">
        <f t="shared" ref="B45:H45" si="9">B44/0.92</f>
        <v>21931436.699005868</v>
      </c>
      <c r="C45" s="34">
        <f t="shared" si="9"/>
        <v>15536391.663672294</v>
      </c>
      <c r="D45" s="34">
        <f t="shared" si="9"/>
        <v>16509625.703677086</v>
      </c>
      <c r="E45" s="34">
        <f t="shared" si="9"/>
        <v>17412479.338842973</v>
      </c>
      <c r="F45" s="34">
        <f t="shared" si="9"/>
        <v>11401643.190801291</v>
      </c>
      <c r="G45" s="34">
        <f t="shared" si="9"/>
        <v>13513112.199065758</v>
      </c>
      <c r="H45" s="34">
        <f t="shared" si="9"/>
        <v>9377895.0772547591</v>
      </c>
      <c r="I45" s="34">
        <f t="shared" ref="I45" si="10">I44/0.92</f>
        <v>12683947.658402203</v>
      </c>
    </row>
    <row r="48" spans="1:9" ht="17" x14ac:dyDescent="0.4">
      <c r="A48" s="73" t="s">
        <v>132</v>
      </c>
      <c r="B48" s="49"/>
      <c r="C48" s="49"/>
      <c r="D48" s="49"/>
      <c r="E48" s="49"/>
      <c r="F48" s="49"/>
      <c r="G48" s="49"/>
      <c r="H48" s="49"/>
    </row>
    <row r="51" spans="1:9" x14ac:dyDescent="0.35">
      <c r="A51" s="15" t="s">
        <v>115</v>
      </c>
      <c r="B51" s="20"/>
      <c r="C51" s="20"/>
      <c r="D51" s="20"/>
      <c r="E51" s="20"/>
      <c r="F51" s="20"/>
      <c r="G51" s="20"/>
      <c r="H51" s="20"/>
    </row>
    <row r="52" spans="1:9" x14ac:dyDescent="0.35">
      <c r="A52" s="69" t="s">
        <v>116</v>
      </c>
      <c r="B52" s="11" t="s">
        <v>125</v>
      </c>
      <c r="C52" s="11" t="s">
        <v>126</v>
      </c>
      <c r="D52" s="11" t="s">
        <v>127</v>
      </c>
      <c r="E52" s="11" t="s">
        <v>128</v>
      </c>
      <c r="F52" s="11" t="s">
        <v>129</v>
      </c>
      <c r="G52" s="11" t="s">
        <v>130</v>
      </c>
      <c r="H52" s="11" t="s">
        <v>131</v>
      </c>
    </row>
    <row r="53" spans="1:9" x14ac:dyDescent="0.35">
      <c r="A53" s="12" t="s">
        <v>117</v>
      </c>
      <c r="B53" s="19">
        <f>OG1P_5.58kW!L2</f>
        <v>12640860</v>
      </c>
      <c r="C53" s="19">
        <f>OG1P_8.68kW!L2</f>
        <v>19663560</v>
      </c>
      <c r="D53" s="19">
        <f>OG1P_11.16kW!L2</f>
        <v>25281720</v>
      </c>
      <c r="E53" s="19">
        <f>OG3P_8.68kW!L2</f>
        <v>19663560</v>
      </c>
      <c r="F53" s="19">
        <f>OG3P_11.16kW!L2</f>
        <v>25281720</v>
      </c>
      <c r="G53" s="19">
        <f>OG3P_14.88kW!L2</f>
        <v>33708960</v>
      </c>
      <c r="H53" s="19">
        <f>OG3P_16.74kW!L2</f>
        <v>37922580</v>
      </c>
    </row>
    <row r="54" spans="1:9" ht="14.5" customHeight="1" x14ac:dyDescent="0.35">
      <c r="A54" s="12" t="s">
        <v>23</v>
      </c>
      <c r="B54" s="19">
        <f>OG1P_5.58kW!L3+OG1P_5.58kW!L4</f>
        <v>8510000</v>
      </c>
      <c r="C54" s="19">
        <f>OG1P_8.68kW!L3+OG1P_8.68kW!L4</f>
        <v>13820000</v>
      </c>
      <c r="D54" s="19">
        <f>OG1P_11.16kW!L3+OG1P_11.16kW!L4</f>
        <v>13820000</v>
      </c>
      <c r="E54" s="19">
        <f>OG3P_8.68kW!L3+OG3P_8.68kW!L4</f>
        <v>16112000</v>
      </c>
      <c r="F54" s="19">
        <f>SUM(OG3P_11.16kW!L3:L4)</f>
        <v>16112000</v>
      </c>
      <c r="G54" s="19">
        <f>SUM(OG3P_14.88kW!L3:L4)</f>
        <v>21561000</v>
      </c>
      <c r="H54" s="19">
        <f>SUM(OG3P_14.88kW!K3:K4)</f>
        <v>21561000</v>
      </c>
    </row>
    <row r="55" spans="1:9" s="26" customFormat="1" x14ac:dyDescent="0.35">
      <c r="A55" s="70" t="s">
        <v>118</v>
      </c>
      <c r="B55" s="25">
        <f>SUM(OG1P_5.58kW!L5:L11)</f>
        <v>2554800</v>
      </c>
      <c r="C55" s="25">
        <f>SUM(OG1P_8.68kW!L5:L11)</f>
        <v>3322400</v>
      </c>
      <c r="D55" s="25">
        <f>SUM(OG1P_11.16kW!L5:L11)</f>
        <v>5012000</v>
      </c>
      <c r="E55" s="25">
        <f>SUM(OG3P_8.68kW!L5:L11)</f>
        <v>3322400</v>
      </c>
      <c r="F55" s="25">
        <f>SUM(OG3P_11.16kW!L5:L11)</f>
        <v>5012000</v>
      </c>
      <c r="G55" s="25">
        <f>SUM(OG3P_14.88kW!L5:L11)</f>
        <v>6395200</v>
      </c>
      <c r="H55" s="25">
        <f>SUM(OG3P_16.74kW!L5:L11)</f>
        <v>7315200</v>
      </c>
    </row>
    <row r="56" spans="1:9" x14ac:dyDescent="0.35">
      <c r="A56" s="70" t="s">
        <v>119</v>
      </c>
      <c r="B56" s="19">
        <f>SUM(OG1P_5.58kW!L12:L16)</f>
        <v>2480000</v>
      </c>
      <c r="C56" s="19">
        <f>SUM(OG1P_8.68kW!L12:L16)</f>
        <v>3620000</v>
      </c>
      <c r="D56" s="19">
        <f>SUM(OG1P_11.16kW!L12:L16)</f>
        <v>4100000</v>
      </c>
      <c r="E56" s="19">
        <f>SUM(OG3P_8.68kW!L12:L16)</f>
        <v>4874545.4545454551</v>
      </c>
      <c r="F56" s="19">
        <f>SUM(OG3P_11.16kW!L12:L16)</f>
        <v>5354545.4545454551</v>
      </c>
      <c r="G56" s="19">
        <f>SUM(OG3P_14.88kW!L12:L16)</f>
        <v>5354545.4545454551</v>
      </c>
      <c r="H56" s="19">
        <f>SUM(OG3P_16.74kW!L12:L16)</f>
        <v>5354545.4545454551</v>
      </c>
    </row>
    <row r="57" spans="1:9" x14ac:dyDescent="0.35">
      <c r="A57" s="70" t="s">
        <v>144</v>
      </c>
      <c r="B57" s="19">
        <f>OG1P_5.58kW!L17</f>
        <v>1565454.5454545454</v>
      </c>
      <c r="C57" s="19">
        <f>OG1P_8.68kW!L17</f>
        <v>1972727.2727272725</v>
      </c>
      <c r="D57" s="19">
        <f>OG1P_11.16kW!K17</f>
        <v>1972727.2727272725</v>
      </c>
      <c r="E57" s="19">
        <f>OG3P_8.68kW!L17</f>
        <v>2500000</v>
      </c>
      <c r="F57" s="19">
        <f>OG3P_11.16kW!L17</f>
        <v>2500000</v>
      </c>
      <c r="G57" s="19">
        <f>OG3P_14.88kW!L17</f>
        <v>3409090.9090909087</v>
      </c>
      <c r="H57" s="19">
        <f>OG3P_16.74kW!L17</f>
        <v>3409090.9090909087</v>
      </c>
    </row>
    <row r="58" spans="1:9" x14ac:dyDescent="0.35">
      <c r="A58" s="71" t="s">
        <v>121</v>
      </c>
      <c r="B58" s="19">
        <f>SUM(OG1P_5.58kW!L18:L20)</f>
        <v>920000</v>
      </c>
      <c r="C58" s="19">
        <f>SUM(OG1P_8.68kW!L18:L20)</f>
        <v>920000</v>
      </c>
      <c r="D58" s="19">
        <f>SUM(OG1P_11.16kW!L18:L20)</f>
        <v>1840000</v>
      </c>
      <c r="E58" s="19">
        <f>SUM(OG3P_8.68kW!L18:L20)</f>
        <v>1840000</v>
      </c>
      <c r="F58" s="19">
        <f>SUM(OG3P_11.16kW!L18:L20)</f>
        <v>1840000</v>
      </c>
      <c r="G58" s="19">
        <f>SUM(OG3P_14.88kW!L18:L20)</f>
        <v>1840000</v>
      </c>
      <c r="H58" s="19">
        <f>SUM(OG3P_16.74kW!L18:L20)</f>
        <v>1840000</v>
      </c>
    </row>
    <row r="59" spans="1:9" x14ac:dyDescent="0.35">
      <c r="A59" s="12" t="s">
        <v>122</v>
      </c>
      <c r="B59" s="19">
        <f>SUM(OG1P_5.58kW!L21:L22)</f>
        <v>7765000</v>
      </c>
      <c r="C59" s="19">
        <f>OG1P_8.68kW!L21+OG1P_8.68kW!L22</f>
        <v>10812000</v>
      </c>
      <c r="D59" s="19">
        <f>OG1P_11.16kW!L21+OG1P_11.16kW!L22</f>
        <v>13044000</v>
      </c>
      <c r="E59" s="19">
        <f>SUM(OG3P_8.68kW!L21:L22)</f>
        <v>10812000</v>
      </c>
      <c r="F59" s="19">
        <f>SUM(OG3P_11.16kW!L21:L22)</f>
        <v>13044000</v>
      </c>
      <c r="G59" s="19">
        <f>SUM(OG3P_16.74kW!L21:L22)</f>
        <v>18066000</v>
      </c>
      <c r="H59" s="19">
        <f>SUM(OG3P_16.74kW!L21:L22)</f>
        <v>18066000</v>
      </c>
    </row>
    <row r="60" spans="1:9" x14ac:dyDescent="0.35">
      <c r="A60" s="15" t="s">
        <v>32</v>
      </c>
      <c r="B60" s="24">
        <f>SUM(B53:B59)</f>
        <v>36436114.545454547</v>
      </c>
      <c r="C60" s="24">
        <f t="shared" ref="C60:G60" si="11">SUM(C53:C59)</f>
        <v>54130687.272727273</v>
      </c>
      <c r="D60" s="24">
        <f t="shared" si="11"/>
        <v>65070447.272727273</v>
      </c>
      <c r="E60" s="24">
        <f t="shared" si="11"/>
        <v>59124505.454545453</v>
      </c>
      <c r="F60" s="24">
        <f t="shared" si="11"/>
        <v>69144265.454545453</v>
      </c>
      <c r="G60" s="24">
        <f t="shared" si="11"/>
        <v>90334796.36363636</v>
      </c>
      <c r="H60" s="24">
        <f t="shared" ref="H60" si="12">SUM(H53:H59)</f>
        <v>95468416.36363636</v>
      </c>
    </row>
    <row r="61" spans="1:9" ht="16.5" x14ac:dyDescent="0.35">
      <c r="A61" s="15" t="s">
        <v>133</v>
      </c>
      <c r="B61" s="24">
        <f>OG1P_5.58kW!H23/1.1</f>
        <v>43938181.818181813</v>
      </c>
      <c r="C61" s="24">
        <f>OG1P_8.68kW!H23/1.1</f>
        <v>66012727.272727266</v>
      </c>
      <c r="D61" s="24">
        <f>OG1P_11.16kW!H23/1.1</f>
        <v>78814545.454545453</v>
      </c>
      <c r="E61" s="24">
        <f>OG3P_8.68kW!H23/1.1</f>
        <v>70512727.272727266</v>
      </c>
      <c r="F61" s="24">
        <f>OG3P_11.16kW!H23/1.1</f>
        <v>82269090.909090906</v>
      </c>
      <c r="G61" s="24">
        <f>OG3P_14.88kW!H23/1.1</f>
        <v>105112727.27272727</v>
      </c>
      <c r="H61" s="24">
        <f>OG3P_16.74kW!H23/1.1</f>
        <v>112789090.90909091</v>
      </c>
      <c r="I61" s="27"/>
    </row>
    <row r="62" spans="1:9" x14ac:dyDescent="0.35">
      <c r="A62" s="31" t="s">
        <v>134</v>
      </c>
      <c r="B62" s="32">
        <f>B61/5.58</f>
        <v>7874226.1322906474</v>
      </c>
      <c r="C62" s="32">
        <f>C61/8.68</f>
        <v>7605152.9116045237</v>
      </c>
      <c r="D62" s="32">
        <f>D61/11.16</f>
        <v>7062235.2557836426</v>
      </c>
      <c r="E62" s="32">
        <f>E61/8.68</f>
        <v>8123586.0913280267</v>
      </c>
      <c r="F62" s="32">
        <f>F61/11.16</f>
        <v>7371782.3395242747</v>
      </c>
      <c r="G62" s="32">
        <f>G61/14.88</f>
        <v>7064027.3704789821</v>
      </c>
      <c r="H62" s="32">
        <f>H61/16.74</f>
        <v>6737699.5764092542</v>
      </c>
    </row>
    <row r="64" spans="1:9" x14ac:dyDescent="0.35">
      <c r="A64" s="72" t="s">
        <v>123</v>
      </c>
      <c r="B64" s="20"/>
      <c r="C64" s="20"/>
      <c r="D64" s="20"/>
      <c r="E64" s="20"/>
      <c r="F64" s="20"/>
      <c r="G64" s="20"/>
      <c r="H64" s="20"/>
      <c r="I64" s="20"/>
    </row>
    <row r="65" spans="1:9" x14ac:dyDescent="0.35">
      <c r="A65" s="69" t="s">
        <v>116</v>
      </c>
      <c r="B65" s="69" t="s">
        <v>135</v>
      </c>
      <c r="C65" s="69" t="s">
        <v>136</v>
      </c>
      <c r="D65" s="69" t="s">
        <v>137</v>
      </c>
      <c r="E65" s="69" t="s">
        <v>138</v>
      </c>
      <c r="F65" s="69" t="s">
        <v>139</v>
      </c>
      <c r="G65" s="69" t="s">
        <v>140</v>
      </c>
      <c r="H65" s="69" t="s">
        <v>141</v>
      </c>
      <c r="I65" s="69" t="s">
        <v>142</v>
      </c>
    </row>
    <row r="66" spans="1:9" x14ac:dyDescent="0.35">
      <c r="A66" s="12" t="s">
        <v>117</v>
      </c>
      <c r="B66" s="19">
        <f>HY1P_5.58kWBAT5.12LV!L2</f>
        <v>12640860</v>
      </c>
      <c r="C66" s="19">
        <f>HY1P_8.68kWBAT5.12LV!L2</f>
        <v>19663560</v>
      </c>
      <c r="D66" s="19">
        <f>HY1P_11.16kWBAT5.12LV!L2</f>
        <v>25281720</v>
      </c>
      <c r="E66" s="19">
        <f>HY1P_14.88kWBAT14.3LV!L2</f>
        <v>33708960</v>
      </c>
      <c r="F66" s="19">
        <f>HY3P_11.16kWBAT5.12LV!L2</f>
        <v>25281720</v>
      </c>
      <c r="G66" s="19">
        <f>HY3P_16.74kWBAT14.3LV!L2</f>
        <v>37922580</v>
      </c>
      <c r="H66" s="19">
        <f>HY3P_11.16kWBAT10HV!L2</f>
        <v>25281720</v>
      </c>
      <c r="I66" s="19">
        <f>HY3P_16.74kWBAT15HV!L2</f>
        <v>37922580</v>
      </c>
    </row>
    <row r="67" spans="1:9" x14ac:dyDescent="0.35">
      <c r="A67" s="12" t="s">
        <v>23</v>
      </c>
      <c r="B67" s="19">
        <f>SUM(HY1P_5.58kWBAT5.12LV!L3)</f>
        <v>18393636.363636363</v>
      </c>
      <c r="C67" s="19">
        <f>HY1P_8.68kWBAT5.12LV!L3</f>
        <v>18393636.363636363</v>
      </c>
      <c r="D67" s="19">
        <f>HY1P_11.16kWBAT5.12LV!L3</f>
        <v>28298181.818181816</v>
      </c>
      <c r="E67" s="19">
        <f>HY1P_14.88kWBAT14.3LV!L3</f>
        <v>28298181.818181816</v>
      </c>
      <c r="F67" s="19">
        <f>HY3P_11.16kWBAT5.12LV!L3</f>
        <v>41272727.272727266</v>
      </c>
      <c r="G67" s="19">
        <f>HY3P_16.74kWBAT14.3LV!L3</f>
        <v>41272727.272727266</v>
      </c>
      <c r="H67" s="19">
        <f>HY3P_11.16kWBAT10HV!L3</f>
        <v>31127272.727272727</v>
      </c>
      <c r="I67" s="19">
        <f>HY3P_16.74kWBAT15HV!L3</f>
        <v>41272727.272727266</v>
      </c>
    </row>
    <row r="68" spans="1:9" ht="14.5" customHeight="1" x14ac:dyDescent="0.35">
      <c r="A68" s="70" t="s">
        <v>124</v>
      </c>
      <c r="B68" s="19">
        <f>SUM(HY1P_5.58kWBAT5.12LV!L4:L6)</f>
        <v>16272727.272727272</v>
      </c>
      <c r="C68" s="19">
        <f>SUM(HY1P_8.68kWBAT5.12LV!L4:L6)</f>
        <v>16272727.272727272</v>
      </c>
      <c r="D68" s="19">
        <f>SUM(HY1P_11.16kWBAT5.12LV!L4:L6)</f>
        <v>16272727.272727272</v>
      </c>
      <c r="E68" s="19">
        <f>SUM(HY1P_14.88kWBAT14.3LV!L4:L6)</f>
        <v>43427272.727272727</v>
      </c>
      <c r="F68" s="19">
        <f>SUM(HY3P_11.16kWBAT5.12LV!L4:L6)</f>
        <v>16272727.272727272</v>
      </c>
      <c r="G68" s="19">
        <f>SUM(HY3P_16.74kWBAT14.3LV!L4:L6)</f>
        <v>43427272.727272727</v>
      </c>
      <c r="H68" s="19">
        <f>SUM(HY3P_11.16kWBAT10HV!L4:L8)</f>
        <v>53390000</v>
      </c>
      <c r="I68" s="19">
        <f>SUM(HY3P_16.74kWBAT15HV!L4:L8)</f>
        <v>71866363.636363626</v>
      </c>
    </row>
    <row r="69" spans="1:9" s="26" customFormat="1" x14ac:dyDescent="0.35">
      <c r="A69" s="70" t="s">
        <v>118</v>
      </c>
      <c r="B69" s="25">
        <f>SUM(HY1P_5.58kWBAT5.12LV!L7:L13)</f>
        <v>2554800</v>
      </c>
      <c r="C69" s="25">
        <f>SUM(HY1P_8.68kWBAT5.12LV!L7:L13)</f>
        <v>3322400</v>
      </c>
      <c r="D69" s="25">
        <f>SUM(HY1P_11.16kWBAT5.12LV!L7:L13)</f>
        <v>5012000</v>
      </c>
      <c r="E69" s="25">
        <f>SUM(HY1P_14.88kWBAT14.3LV!L7:L13)</f>
        <v>6395200</v>
      </c>
      <c r="F69" s="25">
        <f>SUM(HY3P_11.16kWBAT5.12LV!L7:L13)</f>
        <v>5012000</v>
      </c>
      <c r="G69" s="25">
        <f>SUM(HY3P_16.74kWBAT14.3LV!L7:L13)</f>
        <v>7315200</v>
      </c>
      <c r="H69" s="25">
        <f>SUM(HY3P_11.16kWBAT10HV!L9:L15)</f>
        <v>5012000</v>
      </c>
      <c r="I69" s="25">
        <f>SUM(HY3P_16.74kWBAT15HV!L9:L15)</f>
        <v>7315200</v>
      </c>
    </row>
    <row r="70" spans="1:9" x14ac:dyDescent="0.35">
      <c r="A70" s="70" t="s">
        <v>119</v>
      </c>
      <c r="B70" s="19">
        <f>SUM(HY1P_5.58kWBAT5.12LV!L14:L18)</f>
        <v>2240000</v>
      </c>
      <c r="C70" s="19">
        <f>SUM(HY1P_8.68kWBAT5.12LV!L14:L18)</f>
        <v>2880000</v>
      </c>
      <c r="D70" s="19">
        <f>SUM(HY1P_11.16kWBAT5.12LV!L14:L18)</f>
        <v>3900000</v>
      </c>
      <c r="E70" s="19">
        <f>SUM(HY1P_14.88kWBAT14.3LV!L14:L18)</f>
        <v>3940000</v>
      </c>
      <c r="F70" s="19">
        <f>SUM(HY3P_11.16kWBAT5.12LV!L14:L18)</f>
        <v>5154545.4545454551</v>
      </c>
      <c r="G70" s="19">
        <f>SUM(HY3P_16.74kWBAT14.3LV!L14:L18)</f>
        <v>5194545.4545454551</v>
      </c>
      <c r="H70" s="19">
        <f>SUM(HY3P_11.16kWBAT10HV!L16:L20)</f>
        <v>5154545.4545454551</v>
      </c>
      <c r="I70" s="19">
        <f>SUM(HY3P_16.74kWBAT15HV!L16:L20)</f>
        <v>5194545.4545454551</v>
      </c>
    </row>
    <row r="71" spans="1:9" x14ac:dyDescent="0.35">
      <c r="A71" s="70" t="s">
        <v>143</v>
      </c>
      <c r="B71" s="19">
        <f>HY1P_5.58kWBAT5.12LV!L19</f>
        <v>5481818.1818181816</v>
      </c>
      <c r="C71" s="19">
        <f>HY1P_8.68kWBAT5.12LV!L19</f>
        <v>5481818.1818181816</v>
      </c>
      <c r="D71" s="19">
        <f>HY1P_11.16kWBAT5.12LV!L19</f>
        <v>5481818.1818181816</v>
      </c>
      <c r="E71" s="19">
        <f>HY1P_14.88kWBAT14.3LV!L19</f>
        <v>5481818.1818181816</v>
      </c>
      <c r="F71" s="19">
        <f>HY3P_11.16kWBAT5.12LV!L19</f>
        <v>6390909.0909090908</v>
      </c>
      <c r="G71" s="19">
        <f>HY3P_16.74kWBAT14.3LV!L19</f>
        <v>6390909.0909090908</v>
      </c>
      <c r="H71" s="19">
        <f>HY3P_11.16kWBAT10HV!L21</f>
        <v>6390909.0909090908</v>
      </c>
      <c r="I71" s="19">
        <f>HY3P_16.74kWBAT15HV!L21</f>
        <v>6390909.0909090908</v>
      </c>
    </row>
    <row r="72" spans="1:9" x14ac:dyDescent="0.35">
      <c r="A72" s="71" t="s">
        <v>121</v>
      </c>
      <c r="B72" s="19">
        <f>SUM(HY1P_5.58kWBAT5.12LV!L20:L22)</f>
        <v>920000</v>
      </c>
      <c r="C72" s="19">
        <f>SUM(HY1P_8.68kWBAT5.12LV!L20:L22)</f>
        <v>920000</v>
      </c>
      <c r="D72" s="19">
        <f>SUM(HY1P_11.16kWBAT5.12LV!L20:L22)</f>
        <v>1840000</v>
      </c>
      <c r="E72" s="19">
        <f>SUM(HY1P_14.88kWBAT14.3LV!L20:L22)</f>
        <v>1840000</v>
      </c>
      <c r="F72" s="19">
        <f>SUM(HY3P_11.16kWBAT5.12LV!L20:L22)</f>
        <v>1840000</v>
      </c>
      <c r="G72" s="19">
        <f>SUM(HY3P_16.74kWBAT14.3LV!L20:L22)</f>
        <v>1840000</v>
      </c>
      <c r="H72" s="19">
        <f>SUM(HY3P_11.16kWBAT10HV!L22:L24)</f>
        <v>1840000</v>
      </c>
      <c r="I72" s="19">
        <f>SUM(HY3P_16.74kWBAT15HV!L22:L24)</f>
        <v>1840000</v>
      </c>
    </row>
    <row r="73" spans="1:9" x14ac:dyDescent="0.35">
      <c r="A73" s="12" t="s">
        <v>122</v>
      </c>
      <c r="B73" s="19">
        <f>SUM(HY1P_5.58kWBAT5.12LV!L23:L24)</f>
        <v>8080000</v>
      </c>
      <c r="C73" s="19">
        <f>SUM(HY1P_8.68kWBAT5.12LV!L23:L24)</f>
        <v>11680000</v>
      </c>
      <c r="D73" s="19">
        <f>SUM(HY1P_11.16kWBAT5.12LV!L23:L24)</f>
        <v>14160000</v>
      </c>
      <c r="E73" s="19">
        <f>SUM(HY1P_14.88kWBAT14.3LV!L23:L24)</f>
        <v>17880000</v>
      </c>
      <c r="F73" s="19">
        <f>SUM(HY3P_11.16kWBAT5.12LV!L23:L24)</f>
        <v>14160000</v>
      </c>
      <c r="G73" s="19">
        <f>SUM(HY3P_16.74kWBAT14.3LV!L23:L24)</f>
        <v>20740000</v>
      </c>
      <c r="H73" s="19">
        <f>SUM(HY3P_11.16kWBAT10HV!L25:L26)</f>
        <v>14160000</v>
      </c>
      <c r="I73" s="19">
        <f>SUM(HY3P_16.74kWBAT15HV!L25:L26)</f>
        <v>20740000</v>
      </c>
    </row>
    <row r="74" spans="1:9" ht="18.5" customHeight="1" x14ac:dyDescent="0.35">
      <c r="A74" s="15" t="s">
        <v>32</v>
      </c>
      <c r="B74" s="24">
        <f>SUM(B66:B73)</f>
        <v>66583841.818181813</v>
      </c>
      <c r="C74" s="24">
        <f>SUM(C66:C73)</f>
        <v>78614141.818181813</v>
      </c>
      <c r="D74" s="24">
        <f t="shared" ref="D74:I74" si="13">SUM(D66:D73)</f>
        <v>100246447.27272727</v>
      </c>
      <c r="E74" s="24">
        <f t="shared" si="13"/>
        <v>140971432.72727272</v>
      </c>
      <c r="F74" s="24">
        <f t="shared" si="13"/>
        <v>115384629.09090908</v>
      </c>
      <c r="G74" s="24">
        <f t="shared" si="13"/>
        <v>164103234.54545456</v>
      </c>
      <c r="H74" s="24">
        <f>SUM(H66:H73)</f>
        <v>142356447.27272725</v>
      </c>
      <c r="I74" s="24">
        <f t="shared" si="13"/>
        <v>192542325.45454544</v>
      </c>
    </row>
    <row r="75" spans="1:9" ht="18.5" customHeight="1" x14ac:dyDescent="0.35">
      <c r="A75" s="15" t="s">
        <v>133</v>
      </c>
      <c r="B75" s="24">
        <f>HY1P_5.58kWBAT5.12LV!H25/1.1</f>
        <v>79392727.272727266</v>
      </c>
      <c r="C75" s="24">
        <f>HY1P_8.68kWBAT5.12LV!H25/1.1</f>
        <v>93649090.909090906</v>
      </c>
      <c r="D75" s="24">
        <f>HY1P_11.16kWBAT5.12LV!H25/1.1</f>
        <v>120687272.72727272</v>
      </c>
      <c r="E75" s="24">
        <f>HY1P_14.88kWBAT14.3LV!H25/1.1</f>
        <v>172221818.18181816</v>
      </c>
      <c r="F75" s="24">
        <f>HY3P_11.16kWBAT5.12LV!H25/1.1</f>
        <v>140050909.09090909</v>
      </c>
      <c r="G75" s="24">
        <f>HY3P_16.74kWBAT14.3LV!H25/1.1</f>
        <v>199261818.18181816</v>
      </c>
      <c r="H75" s="24">
        <f>HY3P_11.16kWBAT10HV!H27/1.1</f>
        <v>170869090.90909091</v>
      </c>
      <c r="I75" s="24">
        <f>HY3P_16.74kWBAT15HV!H27/1.1</f>
        <v>232716363.63636363</v>
      </c>
    </row>
    <row r="76" spans="1:9" ht="17" customHeight="1" x14ac:dyDescent="0.35">
      <c r="A76" s="31" t="s">
        <v>134</v>
      </c>
      <c r="B76" s="32">
        <f>B75/5.58</f>
        <v>14228087.324861517</v>
      </c>
      <c r="C76" s="32">
        <f>C75/8.68</f>
        <v>10789065.772936741</v>
      </c>
      <c r="D76" s="32">
        <f>D75/11.16</f>
        <v>10814271.749755619</v>
      </c>
      <c r="E76" s="32">
        <f>E75/14.88</f>
        <v>11574046.920821112</v>
      </c>
      <c r="F76" s="32">
        <f>F75/11.16</f>
        <v>12549364.613880742</v>
      </c>
      <c r="G76" s="32">
        <f>G75/16.74</f>
        <v>11903334.419463452</v>
      </c>
      <c r="H76" s="32">
        <f>H75/11.16</f>
        <v>15310850.439882698</v>
      </c>
      <c r="I76" s="32">
        <f>I75/16.74</f>
        <v>13901813.83729771</v>
      </c>
    </row>
    <row r="77" spans="1:9" x14ac:dyDescent="0.35">
      <c r="A77" s="18"/>
      <c r="B77" s="19"/>
      <c r="C77" s="19"/>
      <c r="D77" s="19"/>
      <c r="E77" s="19"/>
      <c r="F77" s="19"/>
      <c r="G77" s="19"/>
      <c r="H77" s="19"/>
      <c r="I77" s="19"/>
    </row>
    <row r="78" spans="1:9" ht="19.75" customHeight="1" x14ac:dyDescent="0.35">
      <c r="A78" s="14" t="s">
        <v>145</v>
      </c>
      <c r="B78" s="28"/>
      <c r="C78" s="28"/>
      <c r="D78" s="28"/>
      <c r="E78" s="28"/>
      <c r="F78" s="28"/>
      <c r="G78" s="28"/>
      <c r="H78" s="28"/>
      <c r="I78" s="28"/>
    </row>
    <row r="79" spans="1:9" ht="34.75" customHeight="1" x14ac:dyDescent="0.35">
      <c r="A79" s="29" t="s">
        <v>146</v>
      </c>
      <c r="B79" s="30">
        <f>B75-SUM(HY1P_5.58kWBAT5.12LV!H4:H6)/1.1</f>
        <v>57665454.545454539</v>
      </c>
      <c r="C79" s="30">
        <f>C75-SUM(HY1P_8.68kWBAT5.12LV!H4:H6)/1.1</f>
        <v>71921818.181818187</v>
      </c>
      <c r="D79" s="30">
        <f>D75-SUM(HY1P_11.16kWBAT5.12LV!H4:H6)/1.1</f>
        <v>98960000</v>
      </c>
      <c r="E79" s="30">
        <f>E75-SUM(HY1P_14.88kWBAT14.3LV!H4:H6)/1.1</f>
        <v>116858181.8181818</v>
      </c>
      <c r="F79" s="30">
        <f>F75-SUM(HY3P_11.16kWBAT5.12LV!H4:H6)/1.1</f>
        <v>118323636.36363637</v>
      </c>
      <c r="G79" s="30">
        <f>G75-SUM(HY3P_16.74kWBAT14.3LV!H4:H6)/1.1</f>
        <v>143898181.81818181</v>
      </c>
      <c r="H79" s="30">
        <f>H75-SUM(HY3P_11.16kWBAT10HV!H4:H8)/1.1</f>
        <v>104778181.81818181</v>
      </c>
      <c r="I79" s="30">
        <f>I75-SUM(HY3P_16.74kWBAT15HV!H4:H8)/1.1</f>
        <v>143898181.81818181</v>
      </c>
    </row>
    <row r="80" spans="1:9" ht="17.5" customHeight="1" x14ac:dyDescent="0.35">
      <c r="A80" s="31" t="s">
        <v>134</v>
      </c>
      <c r="B80" s="32">
        <f>B79/5.58</f>
        <v>10334310.850439882</v>
      </c>
      <c r="C80" s="32">
        <f>C79/8.68</f>
        <v>8285923.7536656903</v>
      </c>
      <c r="D80" s="32">
        <f>D79/11.16</f>
        <v>8867383.5125448033</v>
      </c>
      <c r="E80" s="32">
        <f>E79/14.88</f>
        <v>7853372.434017594</v>
      </c>
      <c r="F80" s="32">
        <f>F79/11.16</f>
        <v>10602476.376669927</v>
      </c>
      <c r="G80" s="32">
        <f>G79/16.74</f>
        <v>8596068.2089714352</v>
      </c>
      <c r="H80" s="32">
        <f>H79/11.16</f>
        <v>9388725.9693711307</v>
      </c>
      <c r="I80" s="32">
        <f>I79/16.74</f>
        <v>8596068.2089714352</v>
      </c>
    </row>
    <row r="81" spans="2:2" x14ac:dyDescent="0.35">
      <c r="B81" s="74"/>
    </row>
  </sheetData>
  <mergeCells count="3">
    <mergeCell ref="A1:I1"/>
    <mergeCell ref="A2:I2"/>
    <mergeCell ref="A48:H48"/>
  </mergeCells>
  <phoneticPr fontId="16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42E2-42F3-4169-9862-F4E94AD9A526}">
  <dimension ref="A1:Q24"/>
  <sheetViews>
    <sheetView topLeftCell="A13" zoomScale="70" zoomScaleNormal="70" workbookViewId="0">
      <selection activeCell="E12" sqref="E12"/>
    </sheetView>
  </sheetViews>
  <sheetFormatPr defaultColWidth="15.7265625" defaultRowHeight="21" x14ac:dyDescent="0.5"/>
  <cols>
    <col min="1" max="1" width="4.6328125" style="2" bestFit="1" customWidth="1"/>
    <col min="2" max="2" width="16.36328125" style="3" customWidth="1"/>
    <col min="3" max="3" width="49.81640625" style="2" customWidth="1"/>
    <col min="4" max="4" width="14.453125" style="4" customWidth="1"/>
    <col min="5" max="5" width="11.1796875" style="4" customWidth="1"/>
    <col min="6" max="8" width="16.453125" style="4" customWidth="1"/>
    <col min="9" max="9" width="12.81640625" style="5" customWidth="1"/>
    <col min="10" max="10" width="15.7265625" style="2"/>
    <col min="11" max="11" width="19.6328125" style="5" customWidth="1"/>
    <col min="12" max="12" width="15.54296875" style="5" bestFit="1" customWidth="1"/>
    <col min="13" max="13" width="15.26953125" style="5" customWidth="1"/>
    <col min="14" max="14" width="18.54296875" style="5" customWidth="1"/>
    <col min="15" max="15" width="15.26953125" style="5" bestFit="1" customWidth="1"/>
    <col min="16" max="16" width="23.179687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68</v>
      </c>
      <c r="O1" s="53" t="s">
        <v>57</v>
      </c>
      <c r="P1" s="65" t="s">
        <v>73</v>
      </c>
      <c r="Q1" s="8"/>
    </row>
    <row r="2" spans="1:17" s="1" customFormat="1" ht="94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9</v>
      </c>
      <c r="G2" s="38">
        <v>2100000</v>
      </c>
      <c r="H2" s="38">
        <f>F2*G2</f>
        <v>18900000</v>
      </c>
      <c r="I2" s="38" t="s">
        <v>19</v>
      </c>
      <c r="J2" s="1">
        <f>9*620</f>
        <v>5580</v>
      </c>
      <c r="K2" s="54">
        <f>54*25500*(1+2%)</f>
        <v>1404540</v>
      </c>
      <c r="L2" s="38">
        <f t="shared" ref="L2" si="0">F2*K2</f>
        <v>12640860</v>
      </c>
      <c r="M2" s="55">
        <v>0.15</v>
      </c>
      <c r="N2" s="38">
        <f>K2/(1-M2)</f>
        <v>1652400</v>
      </c>
      <c r="O2" s="38">
        <f>N2*F2</f>
        <v>14871600</v>
      </c>
      <c r="P2" s="58">
        <f>N2*1.1</f>
        <v>1817640.0000000002</v>
      </c>
    </row>
    <row r="3" spans="1:17" s="1" customFormat="1" ht="84" customHeight="1" x14ac:dyDescent="0.35">
      <c r="A3" s="10">
        <v>2</v>
      </c>
      <c r="B3" s="10" t="s">
        <v>23</v>
      </c>
      <c r="C3" s="36" t="s">
        <v>91</v>
      </c>
      <c r="D3" s="10" t="s">
        <v>92</v>
      </c>
      <c r="E3" s="37" t="s">
        <v>10</v>
      </c>
      <c r="F3" s="37">
        <v>1</v>
      </c>
      <c r="G3" s="38">
        <v>11900000</v>
      </c>
      <c r="H3" s="38">
        <f t="shared" ref="H3:H22" si="1">F3*G3</f>
        <v>11900000</v>
      </c>
      <c r="I3" s="38" t="s">
        <v>20</v>
      </c>
      <c r="K3" s="56">
        <v>7966000</v>
      </c>
      <c r="L3" s="38">
        <f>F3*K3</f>
        <v>7966000</v>
      </c>
      <c r="M3" s="55">
        <v>0.15</v>
      </c>
      <c r="N3" s="38">
        <f t="shared" ref="N3:N22" si="2">K3/(1-M3)</f>
        <v>9371764.7058823537</v>
      </c>
      <c r="O3" s="38">
        <f t="shared" ref="O3:O22" si="3">N3*F3</f>
        <v>9371764.7058823537</v>
      </c>
      <c r="P3" s="58">
        <f t="shared" ref="P3:P22" si="4">N3*1.1</f>
        <v>10308941.176470591</v>
      </c>
    </row>
    <row r="4" spans="1:17" s="1" customFormat="1" ht="45.65" customHeight="1" x14ac:dyDescent="0.35">
      <c r="A4" s="10">
        <v>3</v>
      </c>
      <c r="B4" s="10" t="s">
        <v>93</v>
      </c>
      <c r="C4" s="36" t="s">
        <v>94</v>
      </c>
      <c r="D4" s="10" t="s">
        <v>92</v>
      </c>
      <c r="E4" s="37" t="s">
        <v>10</v>
      </c>
      <c r="F4" s="37">
        <v>1</v>
      </c>
      <c r="G4" s="38">
        <v>1900000</v>
      </c>
      <c r="H4" s="38">
        <f t="shared" si="1"/>
        <v>1900000</v>
      </c>
      <c r="I4" s="38" t="s">
        <v>46</v>
      </c>
      <c r="K4" s="54">
        <v>544000</v>
      </c>
      <c r="L4" s="38">
        <f>F4*K4</f>
        <v>544000</v>
      </c>
      <c r="M4" s="55">
        <v>0.15</v>
      </c>
      <c r="N4" s="38">
        <f t="shared" si="2"/>
        <v>640000</v>
      </c>
      <c r="O4" s="38">
        <f t="shared" si="3"/>
        <v>640000</v>
      </c>
      <c r="P4" s="58">
        <f t="shared" si="4"/>
        <v>704000</v>
      </c>
    </row>
    <row r="5" spans="1:17" s="1" customFormat="1" x14ac:dyDescent="0.35">
      <c r="A5" s="50">
        <v>4</v>
      </c>
      <c r="B5" s="50" t="s">
        <v>3</v>
      </c>
      <c r="C5" s="40" t="s">
        <v>0</v>
      </c>
      <c r="D5" s="10" t="s">
        <v>5</v>
      </c>
      <c r="E5" s="10" t="s">
        <v>8</v>
      </c>
      <c r="F5" s="37">
        <v>8</v>
      </c>
      <c r="G5" s="38">
        <v>11000</v>
      </c>
      <c r="H5" s="38">
        <f t="shared" si="1"/>
        <v>88000</v>
      </c>
      <c r="I5" s="38" t="s">
        <v>20</v>
      </c>
      <c r="J5" s="41" t="s">
        <v>39</v>
      </c>
      <c r="K5" s="54">
        <v>8800</v>
      </c>
      <c r="L5" s="38">
        <f t="shared" ref="L2:L22" si="5">F5*K5</f>
        <v>70400</v>
      </c>
      <c r="M5" s="55">
        <v>0.1</v>
      </c>
      <c r="N5" s="38">
        <f t="shared" si="2"/>
        <v>9777.7777777777774</v>
      </c>
      <c r="O5" s="38">
        <f t="shared" si="3"/>
        <v>78222.222222222219</v>
      </c>
      <c r="P5" s="58">
        <f t="shared" si="4"/>
        <v>10755.555555555557</v>
      </c>
    </row>
    <row r="6" spans="1:17" s="1" customFormat="1" x14ac:dyDescent="0.35">
      <c r="A6" s="50"/>
      <c r="B6" s="50"/>
      <c r="C6" s="40" t="s">
        <v>13</v>
      </c>
      <c r="D6" s="10" t="s">
        <v>5</v>
      </c>
      <c r="E6" s="10" t="s">
        <v>8</v>
      </c>
      <c r="F6" s="37">
        <v>18</v>
      </c>
      <c r="G6" s="38">
        <v>11000</v>
      </c>
      <c r="H6" s="38">
        <f t="shared" si="1"/>
        <v>198000</v>
      </c>
      <c r="I6" s="38" t="s">
        <v>20</v>
      </c>
      <c r="K6" s="54">
        <v>8800</v>
      </c>
      <c r="L6" s="38">
        <f t="shared" si="5"/>
        <v>158400</v>
      </c>
      <c r="M6" s="55">
        <v>0.1</v>
      </c>
      <c r="N6" s="38">
        <f t="shared" si="2"/>
        <v>9777.7777777777774</v>
      </c>
      <c r="O6" s="38">
        <f t="shared" si="3"/>
        <v>176000</v>
      </c>
      <c r="P6" s="58">
        <f t="shared" si="4"/>
        <v>10755.555555555557</v>
      </c>
    </row>
    <row r="7" spans="1:17" s="1" customFormat="1" x14ac:dyDescent="0.35">
      <c r="A7" s="50"/>
      <c r="B7" s="50"/>
      <c r="C7" s="40" t="s">
        <v>40</v>
      </c>
      <c r="D7" s="10" t="s">
        <v>5</v>
      </c>
      <c r="E7" s="10" t="s">
        <v>8</v>
      </c>
      <c r="F7" s="37">
        <v>6</v>
      </c>
      <c r="G7" s="38">
        <v>360000</v>
      </c>
      <c r="H7" s="38">
        <f t="shared" si="1"/>
        <v>2160000</v>
      </c>
      <c r="I7" s="38" t="s">
        <v>20</v>
      </c>
      <c r="J7" s="1">
        <f>9*2*1.2/4.2</f>
        <v>5.1428571428571423</v>
      </c>
      <c r="K7" s="54">
        <v>294000</v>
      </c>
      <c r="L7" s="38">
        <f t="shared" si="5"/>
        <v>1764000</v>
      </c>
      <c r="M7" s="55">
        <v>0.1</v>
      </c>
      <c r="N7" s="38">
        <f t="shared" si="2"/>
        <v>326666.66666666669</v>
      </c>
      <c r="O7" s="38">
        <f t="shared" si="3"/>
        <v>1960000</v>
      </c>
      <c r="P7" s="58">
        <f t="shared" si="4"/>
        <v>359333.33333333337</v>
      </c>
    </row>
    <row r="8" spans="1:17" s="1" customFormat="1" x14ac:dyDescent="0.35">
      <c r="A8" s="50"/>
      <c r="B8" s="50"/>
      <c r="C8" s="40" t="s">
        <v>25</v>
      </c>
      <c r="D8" s="10" t="s">
        <v>5</v>
      </c>
      <c r="E8" s="10" t="s">
        <v>8</v>
      </c>
      <c r="F8" s="37">
        <v>6</v>
      </c>
      <c r="G8" s="38">
        <v>20000</v>
      </c>
      <c r="H8" s="38">
        <f t="shared" si="1"/>
        <v>120000</v>
      </c>
      <c r="I8" s="38" t="s">
        <v>20</v>
      </c>
      <c r="K8" s="54">
        <v>12800</v>
      </c>
      <c r="L8" s="38">
        <f t="shared" si="5"/>
        <v>76800</v>
      </c>
      <c r="M8" s="55">
        <v>0.1</v>
      </c>
      <c r="N8" s="38">
        <f t="shared" si="2"/>
        <v>14222.222222222223</v>
      </c>
      <c r="O8" s="38">
        <f t="shared" si="3"/>
        <v>85333.333333333343</v>
      </c>
      <c r="P8" s="58">
        <f t="shared" si="4"/>
        <v>15644.444444444445</v>
      </c>
    </row>
    <row r="9" spans="1:17" s="1" customFormat="1" x14ac:dyDescent="0.35">
      <c r="A9" s="50"/>
      <c r="B9" s="50"/>
      <c r="C9" s="40" t="s">
        <v>26</v>
      </c>
      <c r="D9" s="10" t="s">
        <v>5</v>
      </c>
      <c r="E9" s="10" t="s">
        <v>8</v>
      </c>
      <c r="F9" s="37">
        <v>28</v>
      </c>
      <c r="G9" s="38">
        <v>20000</v>
      </c>
      <c r="H9" s="38">
        <f t="shared" si="1"/>
        <v>560000</v>
      </c>
      <c r="I9" s="38" t="s">
        <v>20</v>
      </c>
      <c r="K9" s="54">
        <v>16000</v>
      </c>
      <c r="L9" s="38">
        <f t="shared" si="5"/>
        <v>448000</v>
      </c>
      <c r="M9" s="55">
        <v>0.1</v>
      </c>
      <c r="N9" s="38">
        <f t="shared" si="2"/>
        <v>17777.777777777777</v>
      </c>
      <c r="O9" s="38">
        <f t="shared" si="3"/>
        <v>497777.77777777775</v>
      </c>
      <c r="P9" s="58">
        <f t="shared" si="4"/>
        <v>19555.555555555558</v>
      </c>
    </row>
    <row r="10" spans="1:17" s="1" customFormat="1" x14ac:dyDescent="0.35">
      <c r="A10" s="50"/>
      <c r="B10" s="50"/>
      <c r="C10" s="40" t="s">
        <v>30</v>
      </c>
      <c r="D10" s="10" t="s">
        <v>5</v>
      </c>
      <c r="E10" s="10" t="s">
        <v>8</v>
      </c>
      <c r="F10" s="37">
        <v>2</v>
      </c>
      <c r="G10" s="38">
        <v>20000</v>
      </c>
      <c r="H10" s="38">
        <f t="shared" si="1"/>
        <v>40000</v>
      </c>
      <c r="I10" s="38" t="s">
        <v>20</v>
      </c>
      <c r="K10" s="54">
        <v>12600</v>
      </c>
      <c r="L10" s="38">
        <f t="shared" si="5"/>
        <v>25200</v>
      </c>
      <c r="M10" s="55">
        <v>0.1</v>
      </c>
      <c r="N10" s="38">
        <f t="shared" si="2"/>
        <v>14000</v>
      </c>
      <c r="O10" s="38">
        <f t="shared" si="3"/>
        <v>28000</v>
      </c>
      <c r="P10" s="58">
        <f t="shared" si="4"/>
        <v>15400.000000000002</v>
      </c>
    </row>
    <row r="11" spans="1:17" s="1" customFormat="1" x14ac:dyDescent="0.35">
      <c r="A11" s="50"/>
      <c r="B11" s="50"/>
      <c r="C11" s="40" t="s">
        <v>31</v>
      </c>
      <c r="D11" s="10" t="s">
        <v>5</v>
      </c>
      <c r="E11" s="10" t="s">
        <v>8</v>
      </c>
      <c r="F11" s="37">
        <v>8</v>
      </c>
      <c r="G11" s="38">
        <v>2000</v>
      </c>
      <c r="H11" s="38">
        <f t="shared" si="1"/>
        <v>16000</v>
      </c>
      <c r="I11" s="38" t="s">
        <v>20</v>
      </c>
      <c r="K11" s="54">
        <v>1500</v>
      </c>
      <c r="L11" s="38">
        <f t="shared" si="5"/>
        <v>12000</v>
      </c>
      <c r="M11" s="55">
        <v>0.1</v>
      </c>
      <c r="N11" s="38">
        <f t="shared" si="2"/>
        <v>1666.6666666666665</v>
      </c>
      <c r="O11" s="38">
        <f t="shared" si="3"/>
        <v>13333.333333333332</v>
      </c>
      <c r="P11" s="58">
        <f t="shared" si="4"/>
        <v>1833.3333333333333</v>
      </c>
    </row>
    <row r="12" spans="1:17" s="1" customFormat="1" ht="29" x14ac:dyDescent="0.35">
      <c r="A12" s="50">
        <v>5</v>
      </c>
      <c r="B12" s="50" t="s">
        <v>4</v>
      </c>
      <c r="C12" s="39" t="s">
        <v>27</v>
      </c>
      <c r="D12" s="10" t="s">
        <v>1</v>
      </c>
      <c r="E12" s="10" t="s">
        <v>17</v>
      </c>
      <c r="F12" s="37">
        <v>60</v>
      </c>
      <c r="G12" s="38">
        <v>18000</v>
      </c>
      <c r="H12" s="38">
        <f t="shared" si="1"/>
        <v>1080000</v>
      </c>
      <c r="I12" s="38" t="s">
        <v>20</v>
      </c>
      <c r="K12" s="54">
        <v>12000</v>
      </c>
      <c r="L12" s="38">
        <f t="shared" si="5"/>
        <v>720000</v>
      </c>
      <c r="M12" s="55">
        <v>0.1</v>
      </c>
      <c r="N12" s="38">
        <f t="shared" si="2"/>
        <v>13333.333333333332</v>
      </c>
      <c r="O12" s="38">
        <f t="shared" si="3"/>
        <v>799999.99999999988</v>
      </c>
      <c r="P12" s="58">
        <f t="shared" si="4"/>
        <v>14666.666666666666</v>
      </c>
    </row>
    <row r="13" spans="1:17" s="1" customFormat="1" ht="29" x14ac:dyDescent="0.35">
      <c r="A13" s="50"/>
      <c r="B13" s="50"/>
      <c r="C13" s="39" t="s">
        <v>28</v>
      </c>
      <c r="D13" s="10" t="s">
        <v>1</v>
      </c>
      <c r="E13" s="10" t="s">
        <v>17</v>
      </c>
      <c r="F13" s="37">
        <v>60</v>
      </c>
      <c r="G13" s="38">
        <v>18000</v>
      </c>
      <c r="H13" s="38">
        <f t="shared" si="1"/>
        <v>1080000</v>
      </c>
      <c r="I13" s="38" t="s">
        <v>20</v>
      </c>
      <c r="K13" s="54">
        <v>12000</v>
      </c>
      <c r="L13" s="38">
        <f t="shared" si="5"/>
        <v>720000</v>
      </c>
      <c r="M13" s="55">
        <v>0.1</v>
      </c>
      <c r="N13" s="38">
        <f t="shared" si="2"/>
        <v>13333.333333333332</v>
      </c>
      <c r="O13" s="38">
        <f t="shared" si="3"/>
        <v>799999.99999999988</v>
      </c>
      <c r="P13" s="58">
        <f t="shared" si="4"/>
        <v>14666.666666666666</v>
      </c>
    </row>
    <row r="14" spans="1:17" s="1" customFormat="1" ht="29" x14ac:dyDescent="0.35">
      <c r="A14" s="50"/>
      <c r="B14" s="50"/>
      <c r="C14" s="40" t="s">
        <v>95</v>
      </c>
      <c r="D14" s="10" t="s">
        <v>97</v>
      </c>
      <c r="E14" s="10" t="s">
        <v>17</v>
      </c>
      <c r="F14" s="37">
        <v>20</v>
      </c>
      <c r="G14" s="38">
        <v>40000</v>
      </c>
      <c r="H14" s="38">
        <f t="shared" si="1"/>
        <v>800000</v>
      </c>
      <c r="I14" s="38" t="s">
        <v>20</v>
      </c>
      <c r="K14" s="54">
        <v>32000</v>
      </c>
      <c r="L14" s="38">
        <f t="shared" si="5"/>
        <v>640000</v>
      </c>
      <c r="M14" s="55">
        <v>0.1</v>
      </c>
      <c r="N14" s="38">
        <f t="shared" si="2"/>
        <v>35555.555555555555</v>
      </c>
      <c r="O14" s="38">
        <f t="shared" si="3"/>
        <v>711111.11111111112</v>
      </c>
      <c r="P14" s="58">
        <f t="shared" si="4"/>
        <v>39111.111111111117</v>
      </c>
    </row>
    <row r="15" spans="1:17" s="1" customFormat="1" x14ac:dyDescent="0.35">
      <c r="A15" s="50"/>
      <c r="B15" s="50"/>
      <c r="C15" s="39" t="s">
        <v>9</v>
      </c>
      <c r="D15" s="10" t="s">
        <v>5</v>
      </c>
      <c r="E15" s="10" t="s">
        <v>17</v>
      </c>
      <c r="F15" s="37">
        <v>20</v>
      </c>
      <c r="G15" s="38">
        <v>15000</v>
      </c>
      <c r="H15" s="38">
        <f t="shared" si="1"/>
        <v>300000</v>
      </c>
      <c r="I15" s="38" t="s">
        <v>20</v>
      </c>
      <c r="K15" s="54">
        <v>12000</v>
      </c>
      <c r="L15" s="38">
        <f t="shared" si="5"/>
        <v>240000</v>
      </c>
      <c r="M15" s="55">
        <v>0.1</v>
      </c>
      <c r="N15" s="38">
        <f t="shared" si="2"/>
        <v>13333.333333333332</v>
      </c>
      <c r="O15" s="38">
        <f t="shared" si="3"/>
        <v>266666.66666666663</v>
      </c>
      <c r="P15" s="58">
        <f t="shared" si="4"/>
        <v>14666.666666666666</v>
      </c>
    </row>
    <row r="16" spans="1:17" s="1" customFormat="1" x14ac:dyDescent="0.35">
      <c r="A16" s="50"/>
      <c r="B16" s="50"/>
      <c r="C16" s="39" t="s">
        <v>16</v>
      </c>
      <c r="D16" s="10" t="s">
        <v>1</v>
      </c>
      <c r="E16" s="10" t="s">
        <v>10</v>
      </c>
      <c r="F16" s="37">
        <v>8</v>
      </c>
      <c r="G16" s="38">
        <v>30000</v>
      </c>
      <c r="H16" s="38">
        <f t="shared" si="1"/>
        <v>240000</v>
      </c>
      <c r="I16" s="38" t="s">
        <v>20</v>
      </c>
      <c r="K16" s="54">
        <v>20000</v>
      </c>
      <c r="L16" s="38">
        <f t="shared" si="5"/>
        <v>160000</v>
      </c>
      <c r="M16" s="55">
        <v>0.1</v>
      </c>
      <c r="N16" s="38">
        <f t="shared" si="2"/>
        <v>22222.222222222223</v>
      </c>
      <c r="O16" s="38">
        <f t="shared" si="3"/>
        <v>177777.77777777778</v>
      </c>
      <c r="P16" s="58">
        <f t="shared" si="4"/>
        <v>24444.444444444445</v>
      </c>
    </row>
    <row r="17" spans="1:16" s="1" customFormat="1" ht="78.5" customHeight="1" x14ac:dyDescent="0.35">
      <c r="A17" s="10">
        <v>6</v>
      </c>
      <c r="B17" s="10" t="s">
        <v>18</v>
      </c>
      <c r="C17" s="39" t="s">
        <v>101</v>
      </c>
      <c r="D17" s="10" t="s">
        <v>2</v>
      </c>
      <c r="E17" s="10" t="s">
        <v>10</v>
      </c>
      <c r="F17" s="37">
        <v>1</v>
      </c>
      <c r="G17" s="38">
        <v>2400000</v>
      </c>
      <c r="H17" s="38">
        <f t="shared" si="1"/>
        <v>2400000</v>
      </c>
      <c r="I17" s="38" t="s">
        <v>46</v>
      </c>
      <c r="K17" s="54">
        <f>1722000/1.1</f>
        <v>1565454.5454545454</v>
      </c>
      <c r="L17" s="38">
        <f t="shared" si="5"/>
        <v>1565454.5454545454</v>
      </c>
      <c r="M17" s="55">
        <v>0.1</v>
      </c>
      <c r="N17" s="38">
        <f t="shared" si="2"/>
        <v>1739393.9393939392</v>
      </c>
      <c r="O17" s="38">
        <f t="shared" si="3"/>
        <v>1739393.9393939392</v>
      </c>
      <c r="P17" s="58">
        <f t="shared" si="4"/>
        <v>1913333.3333333333</v>
      </c>
    </row>
    <row r="18" spans="1:16" s="1" customFormat="1" x14ac:dyDescent="0.35">
      <c r="A18" s="50">
        <v>7</v>
      </c>
      <c r="B18" s="52" t="s">
        <v>6</v>
      </c>
      <c r="C18" s="39" t="s">
        <v>96</v>
      </c>
      <c r="D18" s="10" t="s">
        <v>22</v>
      </c>
      <c r="E18" s="10" t="s">
        <v>17</v>
      </c>
      <c r="F18" s="37">
        <v>30</v>
      </c>
      <c r="G18" s="38">
        <v>15000</v>
      </c>
      <c r="H18" s="38">
        <f t="shared" si="1"/>
        <v>450000</v>
      </c>
      <c r="I18" s="38" t="s">
        <v>46</v>
      </c>
      <c r="K18" s="54">
        <v>12000</v>
      </c>
      <c r="L18" s="38">
        <f t="shared" si="5"/>
        <v>360000</v>
      </c>
      <c r="M18" s="55">
        <v>0.1</v>
      </c>
      <c r="N18" s="38">
        <f t="shared" si="2"/>
        <v>13333.333333333332</v>
      </c>
      <c r="O18" s="38">
        <f t="shared" si="3"/>
        <v>399999.99999999994</v>
      </c>
      <c r="P18" s="58">
        <f t="shared" si="4"/>
        <v>14666.666666666666</v>
      </c>
    </row>
    <row r="19" spans="1:16" s="1" customFormat="1" x14ac:dyDescent="0.35">
      <c r="A19" s="50"/>
      <c r="B19" s="52"/>
      <c r="C19" s="39" t="s">
        <v>14</v>
      </c>
      <c r="D19" s="10" t="s">
        <v>5</v>
      </c>
      <c r="E19" s="10" t="s">
        <v>8</v>
      </c>
      <c r="F19" s="37">
        <v>1</v>
      </c>
      <c r="G19" s="38">
        <v>250000</v>
      </c>
      <c r="H19" s="38">
        <f t="shared" si="1"/>
        <v>250000</v>
      </c>
      <c r="I19" s="38" t="s">
        <v>46</v>
      </c>
      <c r="K19" s="54">
        <v>200000</v>
      </c>
      <c r="L19" s="38">
        <f t="shared" si="5"/>
        <v>200000</v>
      </c>
      <c r="M19" s="55">
        <v>0.1</v>
      </c>
      <c r="N19" s="38">
        <f t="shared" si="2"/>
        <v>222222.22222222222</v>
      </c>
      <c r="O19" s="38">
        <f t="shared" si="3"/>
        <v>222222.22222222222</v>
      </c>
      <c r="P19" s="58">
        <f t="shared" si="4"/>
        <v>244444.44444444447</v>
      </c>
    </row>
    <row r="20" spans="1:16" s="1" customFormat="1" x14ac:dyDescent="0.35">
      <c r="A20" s="50"/>
      <c r="B20" s="52"/>
      <c r="C20" s="42" t="s">
        <v>24</v>
      </c>
      <c r="D20" s="10" t="s">
        <v>5</v>
      </c>
      <c r="E20" s="10" t="s">
        <v>17</v>
      </c>
      <c r="F20" s="37">
        <v>30</v>
      </c>
      <c r="G20" s="38">
        <v>15000</v>
      </c>
      <c r="H20" s="38">
        <f t="shared" si="1"/>
        <v>450000</v>
      </c>
      <c r="I20" s="38" t="s">
        <v>46</v>
      </c>
      <c r="K20" s="54">
        <v>12000</v>
      </c>
      <c r="L20" s="38">
        <f t="shared" si="5"/>
        <v>360000</v>
      </c>
      <c r="M20" s="55">
        <v>0.1</v>
      </c>
      <c r="N20" s="38">
        <f t="shared" si="2"/>
        <v>13333.333333333332</v>
      </c>
      <c r="O20" s="38">
        <f t="shared" si="3"/>
        <v>399999.99999999994</v>
      </c>
      <c r="P20" s="58">
        <f t="shared" si="4"/>
        <v>14666.666666666666</v>
      </c>
    </row>
    <row r="21" spans="1:16" s="1" customFormat="1" ht="29" x14ac:dyDescent="0.35">
      <c r="A21" s="50">
        <v>8</v>
      </c>
      <c r="B21" s="50" t="s">
        <v>7</v>
      </c>
      <c r="C21" s="42" t="s">
        <v>29</v>
      </c>
      <c r="D21" s="10" t="s">
        <v>2</v>
      </c>
      <c r="E21" s="10" t="s">
        <v>10</v>
      </c>
      <c r="F21" s="37">
        <v>1</v>
      </c>
      <c r="G21" s="38">
        <v>500000</v>
      </c>
      <c r="H21" s="38">
        <f t="shared" si="1"/>
        <v>500000</v>
      </c>
      <c r="I21" s="38"/>
      <c r="K21" s="54">
        <v>500000</v>
      </c>
      <c r="L21" s="38">
        <f t="shared" si="5"/>
        <v>500000</v>
      </c>
      <c r="M21" s="55">
        <v>0.1</v>
      </c>
      <c r="N21" s="38">
        <f>K21/(1-M21)</f>
        <v>555555.5555555555</v>
      </c>
      <c r="O21" s="38">
        <f t="shared" si="3"/>
        <v>555555.5555555555</v>
      </c>
      <c r="P21" s="58">
        <f t="shared" si="4"/>
        <v>611111.11111111112</v>
      </c>
    </row>
    <row r="22" spans="1:16" s="1" customFormat="1" x14ac:dyDescent="0.35">
      <c r="A22" s="50"/>
      <c r="B22" s="51"/>
      <c r="C22" s="40" t="s">
        <v>50</v>
      </c>
      <c r="D22" s="10" t="s">
        <v>2</v>
      </c>
      <c r="E22" s="10" t="s">
        <v>10</v>
      </c>
      <c r="F22" s="37">
        <v>1</v>
      </c>
      <c r="G22" s="38">
        <v>4900000</v>
      </c>
      <c r="H22" s="38">
        <f t="shared" si="1"/>
        <v>4900000</v>
      </c>
      <c r="I22" s="38"/>
      <c r="K22" s="54">
        <f>900000*5.85+2000000</f>
        <v>7265000</v>
      </c>
      <c r="L22" s="38">
        <f t="shared" si="5"/>
        <v>7265000</v>
      </c>
      <c r="M22" s="55">
        <v>0.1</v>
      </c>
      <c r="N22" s="38">
        <f t="shared" si="2"/>
        <v>8072222.222222222</v>
      </c>
      <c r="O22" s="38">
        <f t="shared" si="3"/>
        <v>8072222.222222222</v>
      </c>
      <c r="P22" s="58">
        <f t="shared" si="4"/>
        <v>8879444.444444444</v>
      </c>
    </row>
    <row r="23" spans="1:16" s="1" customFormat="1" ht="31.25" customHeight="1" x14ac:dyDescent="0.35">
      <c r="A23" s="51" t="s">
        <v>51</v>
      </c>
      <c r="B23" s="51"/>
      <c r="C23" s="51"/>
      <c r="D23" s="51"/>
      <c r="E23" s="51"/>
      <c r="F23" s="43"/>
      <c r="G23" s="43"/>
      <c r="H23" s="44">
        <f>SUM(H2:H22)</f>
        <v>48332000</v>
      </c>
      <c r="I23" s="39"/>
      <c r="K23" s="9" t="s">
        <v>71</v>
      </c>
      <c r="L23" s="57">
        <f>SUM(L2:L22)</f>
        <v>36436114.545454547</v>
      </c>
      <c r="M23" s="57"/>
      <c r="N23" s="57"/>
      <c r="O23" s="57">
        <f>SUM(O2:O22)</f>
        <v>41866980.867498517</v>
      </c>
      <c r="P23" s="57"/>
    </row>
    <row r="24" spans="1:16" x14ac:dyDescent="0.5">
      <c r="K24" s="9" t="s">
        <v>72</v>
      </c>
      <c r="L24" s="57">
        <f>L23*1.1</f>
        <v>40079726.000000007</v>
      </c>
      <c r="M24" s="57"/>
      <c r="N24" s="57"/>
      <c r="O24" s="57">
        <f>O23*1.1</f>
        <v>46053678.954248369</v>
      </c>
      <c r="P24" s="57"/>
    </row>
  </sheetData>
  <mergeCells count="9">
    <mergeCell ref="A21:A22"/>
    <mergeCell ref="B21:B22"/>
    <mergeCell ref="A23:E23"/>
    <mergeCell ref="A12:A16"/>
    <mergeCell ref="B12:B16"/>
    <mergeCell ref="A18:A20"/>
    <mergeCell ref="B18:B20"/>
    <mergeCell ref="B5:B11"/>
    <mergeCell ref="A5:A11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80AE-7B13-4745-898F-BD703DA6C094}">
  <dimension ref="A1:Q24"/>
  <sheetViews>
    <sheetView topLeftCell="A10" zoomScale="70" zoomScaleNormal="80" workbookViewId="0">
      <selection activeCell="K12" sqref="K12:K13"/>
    </sheetView>
  </sheetViews>
  <sheetFormatPr defaultColWidth="15.7265625" defaultRowHeight="21" x14ac:dyDescent="0.5"/>
  <cols>
    <col min="1" max="1" width="4.6328125" style="2" bestFit="1" customWidth="1"/>
    <col min="2" max="2" width="16.36328125" style="3" customWidth="1"/>
    <col min="3" max="3" width="49.81640625" style="2" customWidth="1"/>
    <col min="4" max="4" width="14.453125" style="4" customWidth="1"/>
    <col min="5" max="5" width="11.1796875" style="4" customWidth="1"/>
    <col min="6" max="8" width="16.453125" style="4" customWidth="1"/>
    <col min="9" max="9" width="12.81640625" style="5" customWidth="1"/>
    <col min="10" max="10" width="15.7265625" style="2"/>
    <col min="11" max="11" width="19.6328125" style="5" customWidth="1"/>
    <col min="12" max="12" width="15.54296875" style="5" bestFit="1" customWidth="1"/>
    <col min="13" max="13" width="15.26953125" style="5" customWidth="1"/>
    <col min="14" max="14" width="18.54296875" style="5" customWidth="1"/>
    <col min="15" max="15" width="15.26953125" style="5" bestFit="1" customWidth="1"/>
    <col min="16" max="16" width="23.179687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68</v>
      </c>
      <c r="O1" s="53" t="s">
        <v>57</v>
      </c>
      <c r="P1" s="65" t="s">
        <v>73</v>
      </c>
      <c r="Q1" s="8"/>
    </row>
    <row r="2" spans="1:17" s="1" customFormat="1" ht="94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14</v>
      </c>
      <c r="G2" s="38">
        <v>2100000</v>
      </c>
      <c r="H2" s="38">
        <f>F2*G2</f>
        <v>29400000</v>
      </c>
      <c r="I2" s="38" t="s">
        <v>19</v>
      </c>
      <c r="J2" s="1">
        <f>14*620</f>
        <v>8680</v>
      </c>
      <c r="K2" s="54">
        <f>54*25500*(1+2%)</f>
        <v>1404540</v>
      </c>
      <c r="L2" s="38">
        <f t="shared" ref="L2" si="0">F2*K2</f>
        <v>19663560</v>
      </c>
      <c r="M2" s="55">
        <v>0.15</v>
      </c>
      <c r="N2" s="38">
        <f>K2/(1-M2)</f>
        <v>1652400</v>
      </c>
      <c r="O2" s="38">
        <f>N2*F2</f>
        <v>23133600</v>
      </c>
      <c r="P2" s="58">
        <f>N2*1.1</f>
        <v>1817640.0000000002</v>
      </c>
    </row>
    <row r="3" spans="1:17" s="1" customFormat="1" ht="84" customHeight="1" x14ac:dyDescent="0.35">
      <c r="A3" s="10">
        <v>2</v>
      </c>
      <c r="B3" s="10" t="s">
        <v>23</v>
      </c>
      <c r="C3" s="36" t="s">
        <v>98</v>
      </c>
      <c r="D3" s="10" t="s">
        <v>92</v>
      </c>
      <c r="E3" s="37" t="s">
        <v>10</v>
      </c>
      <c r="F3" s="37">
        <v>1</v>
      </c>
      <c r="G3" s="38">
        <v>18600000</v>
      </c>
      <c r="H3" s="38">
        <f t="shared" ref="H3" si="1">F3*G3</f>
        <v>18600000</v>
      </c>
      <c r="I3" s="38" t="s">
        <v>20</v>
      </c>
      <c r="K3" s="13">
        <v>13276000</v>
      </c>
      <c r="L3" s="38">
        <f>F3*K3</f>
        <v>13276000</v>
      </c>
      <c r="M3" s="55">
        <v>0.15</v>
      </c>
      <c r="N3" s="38">
        <f t="shared" ref="N3:N22" si="2">K3/(1-M3)</f>
        <v>15618823.529411765</v>
      </c>
      <c r="O3" s="38">
        <f t="shared" ref="O3:O22" si="3">N3*F3</f>
        <v>15618823.529411765</v>
      </c>
      <c r="P3" s="58">
        <f t="shared" ref="P3:P22" si="4">N3*1.1</f>
        <v>17180705.882352944</v>
      </c>
    </row>
    <row r="4" spans="1:17" s="1" customFormat="1" ht="45.65" customHeight="1" x14ac:dyDescent="0.35">
      <c r="A4" s="10">
        <v>3</v>
      </c>
      <c r="B4" s="10" t="s">
        <v>93</v>
      </c>
      <c r="C4" s="36" t="s">
        <v>94</v>
      </c>
      <c r="D4" s="10" t="s">
        <v>92</v>
      </c>
      <c r="E4" s="37" t="s">
        <v>10</v>
      </c>
      <c r="F4" s="37">
        <v>1</v>
      </c>
      <c r="G4" s="38">
        <v>1900000</v>
      </c>
      <c r="H4" s="38">
        <f t="shared" ref="H3:H22" si="5">F4*G4</f>
        <v>1900000</v>
      </c>
      <c r="I4" s="38" t="s">
        <v>46</v>
      </c>
      <c r="K4" s="54">
        <v>544000</v>
      </c>
      <c r="L4" s="38">
        <f>F4*K4</f>
        <v>544000</v>
      </c>
      <c r="M4" s="55">
        <v>0.15</v>
      </c>
      <c r="N4" s="38">
        <f t="shared" si="2"/>
        <v>640000</v>
      </c>
      <c r="O4" s="38">
        <f t="shared" si="3"/>
        <v>640000</v>
      </c>
      <c r="P4" s="58">
        <f t="shared" si="4"/>
        <v>704000</v>
      </c>
    </row>
    <row r="5" spans="1:17" s="1" customFormat="1" x14ac:dyDescent="0.35">
      <c r="A5" s="50">
        <v>4</v>
      </c>
      <c r="B5" s="50" t="s">
        <v>3</v>
      </c>
      <c r="C5" s="40" t="s">
        <v>0</v>
      </c>
      <c r="D5" s="10" t="s">
        <v>5</v>
      </c>
      <c r="E5" s="10" t="s">
        <v>8</v>
      </c>
      <c r="F5" s="37">
        <v>16</v>
      </c>
      <c r="G5" s="38">
        <v>11000</v>
      </c>
      <c r="H5" s="38">
        <f t="shared" si="5"/>
        <v>176000</v>
      </c>
      <c r="I5" s="38" t="s">
        <v>20</v>
      </c>
      <c r="J5" s="41" t="s">
        <v>99</v>
      </c>
      <c r="K5" s="54">
        <v>8800</v>
      </c>
      <c r="L5" s="38">
        <f t="shared" ref="L5:L25" si="6">F5*K5</f>
        <v>140800</v>
      </c>
      <c r="M5" s="55">
        <v>0.1</v>
      </c>
      <c r="N5" s="38">
        <f t="shared" si="2"/>
        <v>9777.7777777777774</v>
      </c>
      <c r="O5" s="38">
        <f t="shared" si="3"/>
        <v>156444.44444444444</v>
      </c>
      <c r="P5" s="58">
        <f t="shared" si="4"/>
        <v>10755.555555555557</v>
      </c>
    </row>
    <row r="6" spans="1:17" s="1" customFormat="1" x14ac:dyDescent="0.35">
      <c r="A6" s="50"/>
      <c r="B6" s="50"/>
      <c r="C6" s="40" t="s">
        <v>13</v>
      </c>
      <c r="D6" s="10" t="s">
        <v>5</v>
      </c>
      <c r="E6" s="10" t="s">
        <v>8</v>
      </c>
      <c r="F6" s="37">
        <v>16</v>
      </c>
      <c r="G6" s="38">
        <v>11000</v>
      </c>
      <c r="H6" s="38">
        <f t="shared" si="5"/>
        <v>176000</v>
      </c>
      <c r="I6" s="38" t="s">
        <v>20</v>
      </c>
      <c r="K6" s="54">
        <v>8800</v>
      </c>
      <c r="L6" s="38">
        <f t="shared" si="6"/>
        <v>140800</v>
      </c>
      <c r="M6" s="55">
        <v>0.1</v>
      </c>
      <c r="N6" s="38">
        <f t="shared" si="2"/>
        <v>9777.7777777777774</v>
      </c>
      <c r="O6" s="38">
        <f t="shared" si="3"/>
        <v>156444.44444444444</v>
      </c>
      <c r="P6" s="58">
        <f t="shared" si="4"/>
        <v>10755.555555555557</v>
      </c>
    </row>
    <row r="7" spans="1:17" s="1" customFormat="1" x14ac:dyDescent="0.35">
      <c r="A7" s="50"/>
      <c r="B7" s="50"/>
      <c r="C7" s="40" t="s">
        <v>40</v>
      </c>
      <c r="D7" s="10" t="s">
        <v>5</v>
      </c>
      <c r="E7" s="10" t="s">
        <v>8</v>
      </c>
      <c r="F7" s="37">
        <v>8</v>
      </c>
      <c r="G7" s="38">
        <v>360000</v>
      </c>
      <c r="H7" s="38">
        <f t="shared" si="5"/>
        <v>2880000</v>
      </c>
      <c r="I7" s="38" t="s">
        <v>20</v>
      </c>
      <c r="J7" s="66">
        <f>14*2*1.2/4.2</f>
        <v>8</v>
      </c>
      <c r="K7" s="54">
        <v>294000</v>
      </c>
      <c r="L7" s="38">
        <f t="shared" si="6"/>
        <v>2352000</v>
      </c>
      <c r="M7" s="55">
        <v>0.1</v>
      </c>
      <c r="N7" s="38">
        <f t="shared" si="2"/>
        <v>326666.66666666669</v>
      </c>
      <c r="O7" s="38">
        <f t="shared" si="3"/>
        <v>2613333.3333333335</v>
      </c>
      <c r="P7" s="58">
        <f t="shared" si="4"/>
        <v>359333.33333333337</v>
      </c>
    </row>
    <row r="8" spans="1:17" s="1" customFormat="1" x14ac:dyDescent="0.35">
      <c r="A8" s="50"/>
      <c r="B8" s="50"/>
      <c r="C8" s="40" t="s">
        <v>25</v>
      </c>
      <c r="D8" s="10" t="s">
        <v>5</v>
      </c>
      <c r="E8" s="10" t="s">
        <v>8</v>
      </c>
      <c r="F8" s="37">
        <v>8</v>
      </c>
      <c r="G8" s="38">
        <v>20000</v>
      </c>
      <c r="H8" s="38">
        <f t="shared" si="5"/>
        <v>160000</v>
      </c>
      <c r="I8" s="38" t="s">
        <v>20</v>
      </c>
      <c r="K8" s="54">
        <v>12800</v>
      </c>
      <c r="L8" s="38">
        <f t="shared" si="6"/>
        <v>102400</v>
      </c>
      <c r="M8" s="55">
        <v>0.1</v>
      </c>
      <c r="N8" s="38">
        <f t="shared" si="2"/>
        <v>14222.222222222223</v>
      </c>
      <c r="O8" s="38">
        <f t="shared" si="3"/>
        <v>113777.77777777778</v>
      </c>
      <c r="P8" s="58">
        <f t="shared" si="4"/>
        <v>15644.444444444445</v>
      </c>
    </row>
    <row r="9" spans="1:17" s="1" customFormat="1" x14ac:dyDescent="0.35">
      <c r="A9" s="50"/>
      <c r="B9" s="50"/>
      <c r="C9" s="40" t="s">
        <v>26</v>
      </c>
      <c r="D9" s="10" t="s">
        <v>5</v>
      </c>
      <c r="E9" s="10" t="s">
        <v>8</v>
      </c>
      <c r="F9" s="37">
        <v>32</v>
      </c>
      <c r="G9" s="38">
        <v>20000</v>
      </c>
      <c r="H9" s="38">
        <f t="shared" si="5"/>
        <v>640000</v>
      </c>
      <c r="I9" s="38" t="s">
        <v>20</v>
      </c>
      <c r="K9" s="54">
        <v>16000</v>
      </c>
      <c r="L9" s="38">
        <f t="shared" si="6"/>
        <v>512000</v>
      </c>
      <c r="M9" s="55">
        <v>0.1</v>
      </c>
      <c r="N9" s="38">
        <f t="shared" si="2"/>
        <v>17777.777777777777</v>
      </c>
      <c r="O9" s="38">
        <f t="shared" si="3"/>
        <v>568888.88888888888</v>
      </c>
      <c r="P9" s="58">
        <f t="shared" si="4"/>
        <v>19555.555555555558</v>
      </c>
    </row>
    <row r="10" spans="1:17" s="1" customFormat="1" x14ac:dyDescent="0.35">
      <c r="A10" s="50"/>
      <c r="B10" s="50"/>
      <c r="C10" s="40" t="s">
        <v>30</v>
      </c>
      <c r="D10" s="10" t="s">
        <v>5</v>
      </c>
      <c r="E10" s="10" t="s">
        <v>8</v>
      </c>
      <c r="F10" s="37">
        <v>4</v>
      </c>
      <c r="G10" s="38">
        <v>20000</v>
      </c>
      <c r="H10" s="38">
        <f t="shared" si="5"/>
        <v>80000</v>
      </c>
      <c r="I10" s="38" t="s">
        <v>20</v>
      </c>
      <c r="K10" s="54">
        <v>12600</v>
      </c>
      <c r="L10" s="38">
        <f t="shared" si="6"/>
        <v>50400</v>
      </c>
      <c r="M10" s="55">
        <v>0.1</v>
      </c>
      <c r="N10" s="38">
        <f t="shared" si="2"/>
        <v>14000</v>
      </c>
      <c r="O10" s="38">
        <f t="shared" si="3"/>
        <v>56000</v>
      </c>
      <c r="P10" s="58">
        <f t="shared" si="4"/>
        <v>15400.000000000002</v>
      </c>
    </row>
    <row r="11" spans="1:17" s="1" customFormat="1" x14ac:dyDescent="0.35">
      <c r="A11" s="50"/>
      <c r="B11" s="50"/>
      <c r="C11" s="40" t="s">
        <v>31</v>
      </c>
      <c r="D11" s="10" t="s">
        <v>5</v>
      </c>
      <c r="E11" s="10" t="s">
        <v>8</v>
      </c>
      <c r="F11" s="37">
        <f>F6</f>
        <v>16</v>
      </c>
      <c r="G11" s="38">
        <v>2000</v>
      </c>
      <c r="H11" s="38">
        <f t="shared" si="5"/>
        <v>32000</v>
      </c>
      <c r="I11" s="38" t="s">
        <v>20</v>
      </c>
      <c r="K11" s="54">
        <v>1500</v>
      </c>
      <c r="L11" s="38">
        <f t="shared" si="6"/>
        <v>24000</v>
      </c>
      <c r="M11" s="55">
        <v>0.1</v>
      </c>
      <c r="N11" s="38">
        <f t="shared" si="2"/>
        <v>1666.6666666666665</v>
      </c>
      <c r="O11" s="38">
        <f t="shared" si="3"/>
        <v>26666.666666666664</v>
      </c>
      <c r="P11" s="58">
        <f t="shared" si="4"/>
        <v>1833.3333333333333</v>
      </c>
    </row>
    <row r="12" spans="1:17" s="1" customFormat="1" ht="29" x14ac:dyDescent="0.35">
      <c r="A12" s="50">
        <v>5</v>
      </c>
      <c r="B12" s="50" t="s">
        <v>4</v>
      </c>
      <c r="C12" s="39" t="s">
        <v>27</v>
      </c>
      <c r="D12" s="10" t="s">
        <v>1</v>
      </c>
      <c r="E12" s="10" t="s">
        <v>17</v>
      </c>
      <c r="F12" s="37">
        <v>80</v>
      </c>
      <c r="G12" s="38">
        <v>18000</v>
      </c>
      <c r="H12" s="38">
        <f t="shared" si="5"/>
        <v>1440000</v>
      </c>
      <c r="I12" s="38" t="s">
        <v>20</v>
      </c>
      <c r="K12" s="54">
        <v>12000</v>
      </c>
      <c r="L12" s="38">
        <f t="shared" si="6"/>
        <v>960000</v>
      </c>
      <c r="M12" s="55">
        <v>0.1</v>
      </c>
      <c r="N12" s="38">
        <f t="shared" si="2"/>
        <v>13333.333333333332</v>
      </c>
      <c r="O12" s="38">
        <f t="shared" si="3"/>
        <v>1066666.6666666665</v>
      </c>
      <c r="P12" s="58">
        <f t="shared" si="4"/>
        <v>14666.666666666666</v>
      </c>
    </row>
    <row r="13" spans="1:17" s="1" customFormat="1" ht="29" x14ac:dyDescent="0.35">
      <c r="A13" s="50"/>
      <c r="B13" s="50"/>
      <c r="C13" s="39" t="s">
        <v>28</v>
      </c>
      <c r="D13" s="10" t="s">
        <v>1</v>
      </c>
      <c r="E13" s="10" t="s">
        <v>17</v>
      </c>
      <c r="F13" s="37">
        <v>80</v>
      </c>
      <c r="G13" s="38">
        <v>18000</v>
      </c>
      <c r="H13" s="38">
        <f t="shared" si="5"/>
        <v>1440000</v>
      </c>
      <c r="I13" s="38" t="s">
        <v>20</v>
      </c>
      <c r="K13" s="54">
        <v>12000</v>
      </c>
      <c r="L13" s="38">
        <f t="shared" si="6"/>
        <v>960000</v>
      </c>
      <c r="M13" s="55">
        <v>0.1</v>
      </c>
      <c r="N13" s="38">
        <f t="shared" si="2"/>
        <v>13333.333333333332</v>
      </c>
      <c r="O13" s="38">
        <f t="shared" si="3"/>
        <v>1066666.6666666665</v>
      </c>
      <c r="P13" s="58">
        <f t="shared" si="4"/>
        <v>14666.666666666666</v>
      </c>
    </row>
    <row r="14" spans="1:17" s="1" customFormat="1" ht="29" x14ac:dyDescent="0.35">
      <c r="A14" s="50"/>
      <c r="B14" s="50"/>
      <c r="C14" s="40" t="s">
        <v>103</v>
      </c>
      <c r="D14" s="10" t="s">
        <v>97</v>
      </c>
      <c r="E14" s="10" t="s">
        <v>17</v>
      </c>
      <c r="F14" s="37">
        <v>20</v>
      </c>
      <c r="G14" s="38">
        <v>80000</v>
      </c>
      <c r="H14" s="38">
        <f t="shared" si="5"/>
        <v>1600000</v>
      </c>
      <c r="I14" s="38" t="s">
        <v>20</v>
      </c>
      <c r="K14" s="54">
        <v>65000</v>
      </c>
      <c r="L14" s="38">
        <f t="shared" si="6"/>
        <v>1300000</v>
      </c>
      <c r="M14" s="55">
        <v>0.1</v>
      </c>
      <c r="N14" s="38">
        <f t="shared" si="2"/>
        <v>72222.222222222219</v>
      </c>
      <c r="O14" s="38">
        <f t="shared" si="3"/>
        <v>1444444.4444444445</v>
      </c>
      <c r="P14" s="58">
        <f t="shared" si="4"/>
        <v>79444.444444444453</v>
      </c>
    </row>
    <row r="15" spans="1:17" s="1" customFormat="1" x14ac:dyDescent="0.35">
      <c r="A15" s="50"/>
      <c r="B15" s="50"/>
      <c r="C15" s="39" t="s">
        <v>9</v>
      </c>
      <c r="D15" s="10" t="s">
        <v>5</v>
      </c>
      <c r="E15" s="10" t="s">
        <v>17</v>
      </c>
      <c r="F15" s="37">
        <v>20</v>
      </c>
      <c r="G15" s="38">
        <v>15000</v>
      </c>
      <c r="H15" s="38">
        <f t="shared" si="5"/>
        <v>300000</v>
      </c>
      <c r="I15" s="38" t="s">
        <v>20</v>
      </c>
      <c r="K15" s="54">
        <v>12000</v>
      </c>
      <c r="L15" s="38">
        <f t="shared" si="6"/>
        <v>240000</v>
      </c>
      <c r="M15" s="55">
        <v>0.1</v>
      </c>
      <c r="N15" s="38">
        <f t="shared" si="2"/>
        <v>13333.333333333332</v>
      </c>
      <c r="O15" s="38">
        <f t="shared" si="3"/>
        <v>266666.66666666663</v>
      </c>
      <c r="P15" s="58">
        <f t="shared" si="4"/>
        <v>14666.666666666666</v>
      </c>
    </row>
    <row r="16" spans="1:17" s="1" customFormat="1" x14ac:dyDescent="0.35">
      <c r="A16" s="50"/>
      <c r="B16" s="50"/>
      <c r="C16" s="39" t="s">
        <v>16</v>
      </c>
      <c r="D16" s="10" t="s">
        <v>1</v>
      </c>
      <c r="E16" s="10" t="s">
        <v>10</v>
      </c>
      <c r="F16" s="37">
        <v>8</v>
      </c>
      <c r="G16" s="38">
        <v>30000</v>
      </c>
      <c r="H16" s="38">
        <f t="shared" si="5"/>
        <v>240000</v>
      </c>
      <c r="I16" s="38" t="s">
        <v>20</v>
      </c>
      <c r="K16" s="54">
        <v>20000</v>
      </c>
      <c r="L16" s="38">
        <f t="shared" si="6"/>
        <v>160000</v>
      </c>
      <c r="M16" s="55">
        <v>0.1</v>
      </c>
      <c r="N16" s="38">
        <f t="shared" si="2"/>
        <v>22222.222222222223</v>
      </c>
      <c r="O16" s="38">
        <f t="shared" si="3"/>
        <v>177777.77777777778</v>
      </c>
      <c r="P16" s="58">
        <f t="shared" si="4"/>
        <v>24444.444444444445</v>
      </c>
    </row>
    <row r="17" spans="1:16" s="1" customFormat="1" ht="91.5" customHeight="1" x14ac:dyDescent="0.35">
      <c r="A17" s="10">
        <v>6</v>
      </c>
      <c r="B17" s="10" t="s">
        <v>18</v>
      </c>
      <c r="C17" s="39" t="s">
        <v>100</v>
      </c>
      <c r="D17" s="10" t="s">
        <v>2</v>
      </c>
      <c r="E17" s="10" t="s">
        <v>10</v>
      </c>
      <c r="F17" s="37">
        <v>1</v>
      </c>
      <c r="G17" s="38">
        <v>3500000</v>
      </c>
      <c r="H17" s="38">
        <f t="shared" si="5"/>
        <v>3500000</v>
      </c>
      <c r="I17" s="38" t="s">
        <v>46</v>
      </c>
      <c r="K17" s="7">
        <f>2060000/1.1+100000</f>
        <v>1972727.2727272725</v>
      </c>
      <c r="L17" s="38">
        <f t="shared" si="6"/>
        <v>1972727.2727272725</v>
      </c>
      <c r="M17" s="55">
        <v>0.1</v>
      </c>
      <c r="N17" s="38">
        <f t="shared" si="2"/>
        <v>2191919.1919191917</v>
      </c>
      <c r="O17" s="38">
        <f t="shared" si="3"/>
        <v>2191919.1919191917</v>
      </c>
      <c r="P17" s="58">
        <f t="shared" si="4"/>
        <v>2411111.111111111</v>
      </c>
    </row>
    <row r="18" spans="1:16" s="1" customFormat="1" x14ac:dyDescent="0.35">
      <c r="A18" s="50">
        <v>7</v>
      </c>
      <c r="B18" s="52" t="s">
        <v>6</v>
      </c>
      <c r="C18" s="39" t="s">
        <v>21</v>
      </c>
      <c r="D18" s="10" t="s">
        <v>22</v>
      </c>
      <c r="E18" s="10" t="s">
        <v>17</v>
      </c>
      <c r="F18" s="37">
        <v>30</v>
      </c>
      <c r="G18" s="38">
        <v>15000</v>
      </c>
      <c r="H18" s="38">
        <f t="shared" si="5"/>
        <v>450000</v>
      </c>
      <c r="I18" s="38" t="s">
        <v>46</v>
      </c>
      <c r="K18" s="7">
        <v>12000</v>
      </c>
      <c r="L18" s="38">
        <f t="shared" si="6"/>
        <v>360000</v>
      </c>
      <c r="M18" s="55">
        <v>0.1</v>
      </c>
      <c r="N18" s="38">
        <f t="shared" si="2"/>
        <v>13333.333333333332</v>
      </c>
      <c r="O18" s="38">
        <f t="shared" si="3"/>
        <v>399999.99999999994</v>
      </c>
      <c r="P18" s="58">
        <f t="shared" si="4"/>
        <v>14666.666666666666</v>
      </c>
    </row>
    <row r="19" spans="1:16" s="1" customFormat="1" x14ac:dyDescent="0.35">
      <c r="A19" s="50"/>
      <c r="B19" s="52"/>
      <c r="C19" s="39" t="s">
        <v>14</v>
      </c>
      <c r="D19" s="10" t="s">
        <v>5</v>
      </c>
      <c r="E19" s="10" t="s">
        <v>8</v>
      </c>
      <c r="F19" s="37">
        <v>1</v>
      </c>
      <c r="G19" s="38">
        <v>250000</v>
      </c>
      <c r="H19" s="38">
        <f t="shared" si="5"/>
        <v>250000</v>
      </c>
      <c r="I19" s="38" t="s">
        <v>46</v>
      </c>
      <c r="K19" s="7">
        <v>200000</v>
      </c>
      <c r="L19" s="38">
        <f t="shared" si="6"/>
        <v>200000</v>
      </c>
      <c r="M19" s="55">
        <v>0.1</v>
      </c>
      <c r="N19" s="38">
        <f t="shared" si="2"/>
        <v>222222.22222222222</v>
      </c>
      <c r="O19" s="38">
        <f t="shared" si="3"/>
        <v>222222.22222222222</v>
      </c>
      <c r="P19" s="58">
        <f t="shared" si="4"/>
        <v>244444.44444444447</v>
      </c>
    </row>
    <row r="20" spans="1:16" s="1" customFormat="1" x14ac:dyDescent="0.35">
      <c r="A20" s="50"/>
      <c r="B20" s="52"/>
      <c r="C20" s="42" t="s">
        <v>24</v>
      </c>
      <c r="D20" s="10" t="s">
        <v>5</v>
      </c>
      <c r="E20" s="10" t="s">
        <v>17</v>
      </c>
      <c r="F20" s="37">
        <v>30</v>
      </c>
      <c r="G20" s="38">
        <v>15000</v>
      </c>
      <c r="H20" s="38">
        <f t="shared" si="5"/>
        <v>450000</v>
      </c>
      <c r="I20" s="38" t="s">
        <v>46</v>
      </c>
      <c r="K20" s="7">
        <v>12000</v>
      </c>
      <c r="L20" s="38">
        <f t="shared" si="6"/>
        <v>360000</v>
      </c>
      <c r="M20" s="55">
        <v>0.1</v>
      </c>
      <c r="N20" s="38">
        <f t="shared" si="2"/>
        <v>13333.333333333332</v>
      </c>
      <c r="O20" s="38">
        <f t="shared" si="3"/>
        <v>399999.99999999994</v>
      </c>
      <c r="P20" s="58">
        <f t="shared" si="4"/>
        <v>14666.666666666666</v>
      </c>
    </row>
    <row r="21" spans="1:16" s="1" customFormat="1" ht="29" x14ac:dyDescent="0.35">
      <c r="A21" s="50">
        <v>8</v>
      </c>
      <c r="B21" s="50" t="s">
        <v>7</v>
      </c>
      <c r="C21" s="42" t="s">
        <v>29</v>
      </c>
      <c r="D21" s="10" t="s">
        <v>2</v>
      </c>
      <c r="E21" s="10" t="s">
        <v>10</v>
      </c>
      <c r="F21" s="37">
        <v>1</v>
      </c>
      <c r="G21" s="38">
        <v>1000000</v>
      </c>
      <c r="H21" s="38">
        <f t="shared" si="5"/>
        <v>1000000</v>
      </c>
      <c r="I21" s="38"/>
      <c r="K21" s="7">
        <v>1000000</v>
      </c>
      <c r="L21" s="38">
        <f t="shared" si="6"/>
        <v>1000000</v>
      </c>
      <c r="M21" s="55">
        <v>0.1</v>
      </c>
      <c r="N21" s="38">
        <f>K21/(1-M21)</f>
        <v>1111111.111111111</v>
      </c>
      <c r="O21" s="38">
        <f t="shared" si="3"/>
        <v>1111111.111111111</v>
      </c>
      <c r="P21" s="58">
        <f t="shared" si="4"/>
        <v>1222222.2222222222</v>
      </c>
    </row>
    <row r="22" spans="1:16" s="1" customFormat="1" x14ac:dyDescent="0.35">
      <c r="A22" s="50"/>
      <c r="B22" s="51"/>
      <c r="C22" s="40" t="s">
        <v>50</v>
      </c>
      <c r="D22" s="10" t="s">
        <v>2</v>
      </c>
      <c r="E22" s="10" t="s">
        <v>10</v>
      </c>
      <c r="F22" s="37">
        <v>1</v>
      </c>
      <c r="G22" s="38">
        <v>7900000</v>
      </c>
      <c r="H22" s="38">
        <f t="shared" si="5"/>
        <v>7900000</v>
      </c>
      <c r="I22" s="38"/>
      <c r="K22" s="7">
        <f>900000*8.68+2000000</f>
        <v>9812000</v>
      </c>
      <c r="L22" s="38">
        <f t="shared" si="6"/>
        <v>9812000</v>
      </c>
      <c r="M22" s="55">
        <v>0.1</v>
      </c>
      <c r="N22" s="38">
        <f t="shared" si="2"/>
        <v>10902222.222222222</v>
      </c>
      <c r="O22" s="38">
        <f t="shared" si="3"/>
        <v>10902222.222222222</v>
      </c>
      <c r="P22" s="58">
        <f t="shared" si="4"/>
        <v>11992444.444444446</v>
      </c>
    </row>
    <row r="23" spans="1:16" s="1" customFormat="1" ht="31.25" customHeight="1" x14ac:dyDescent="0.35">
      <c r="A23" s="51" t="s">
        <v>51</v>
      </c>
      <c r="B23" s="51"/>
      <c r="C23" s="51"/>
      <c r="D23" s="51"/>
      <c r="E23" s="51"/>
      <c r="F23" s="43"/>
      <c r="G23" s="43"/>
      <c r="H23" s="44">
        <f>SUM(H2:H22)</f>
        <v>72614000</v>
      </c>
      <c r="I23" s="39"/>
      <c r="K23" s="9" t="s">
        <v>71</v>
      </c>
      <c r="L23" s="57">
        <f>SUM(L2:L22)</f>
        <v>54130687.272727273</v>
      </c>
      <c r="M23" s="57"/>
      <c r="N23" s="57"/>
      <c r="O23" s="57">
        <f>SUM(O2:O22)</f>
        <v>62333676.054664291</v>
      </c>
      <c r="P23" s="57"/>
    </row>
    <row r="24" spans="1:16" x14ac:dyDescent="0.5">
      <c r="K24" s="9" t="s">
        <v>72</v>
      </c>
      <c r="L24" s="57">
        <f>L23*1.1</f>
        <v>59543756.000000007</v>
      </c>
      <c r="M24" s="57"/>
      <c r="N24" s="57"/>
      <c r="O24" s="57">
        <f>O23*1.1</f>
        <v>68567043.660130724</v>
      </c>
      <c r="P24" s="57"/>
    </row>
  </sheetData>
  <mergeCells count="9">
    <mergeCell ref="A23:E23"/>
    <mergeCell ref="B5:B11"/>
    <mergeCell ref="A5:A11"/>
    <mergeCell ref="A21:A22"/>
    <mergeCell ref="B21:B22"/>
    <mergeCell ref="A12:A16"/>
    <mergeCell ref="B12:B16"/>
    <mergeCell ref="A18:A20"/>
    <mergeCell ref="B18:B20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C23B-BB10-45AC-8206-956A44240EBE}">
  <dimension ref="A1:Q24"/>
  <sheetViews>
    <sheetView topLeftCell="A7" zoomScale="60" zoomScaleNormal="60" workbookViewId="0">
      <selection activeCell="F18" sqref="F18:F20"/>
    </sheetView>
  </sheetViews>
  <sheetFormatPr defaultColWidth="15.7265625" defaultRowHeight="21" x14ac:dyDescent="0.5"/>
  <cols>
    <col min="1" max="1" width="4.6328125" style="2" bestFit="1" customWidth="1"/>
    <col min="2" max="2" width="16.36328125" style="3" customWidth="1"/>
    <col min="3" max="3" width="49.81640625" style="2" customWidth="1"/>
    <col min="4" max="4" width="14.453125" style="4" customWidth="1"/>
    <col min="5" max="5" width="11.1796875" style="4" customWidth="1"/>
    <col min="6" max="8" width="16.453125" style="4" customWidth="1"/>
    <col min="9" max="9" width="12.81640625" style="5" customWidth="1"/>
    <col min="10" max="10" width="15.7265625" style="2"/>
    <col min="11" max="11" width="19.6328125" style="5" customWidth="1"/>
    <col min="12" max="12" width="15.54296875" style="5" bestFit="1" customWidth="1"/>
    <col min="13" max="13" width="15.26953125" style="5" customWidth="1"/>
    <col min="14" max="14" width="18.54296875" style="5" customWidth="1"/>
    <col min="15" max="15" width="15.26953125" style="5" bestFit="1" customWidth="1"/>
    <col min="16" max="16" width="23.179687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68</v>
      </c>
      <c r="O1" s="53" t="s">
        <v>57</v>
      </c>
      <c r="P1" s="65" t="s">
        <v>73</v>
      </c>
      <c r="Q1" s="8"/>
    </row>
    <row r="2" spans="1:17" s="1" customFormat="1" ht="94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18</v>
      </c>
      <c r="G2" s="38">
        <v>2100000</v>
      </c>
      <c r="H2" s="38">
        <f>F2*G2</f>
        <v>37800000</v>
      </c>
      <c r="I2" s="38" t="s">
        <v>19</v>
      </c>
      <c r="J2" s="1">
        <f>18*620</f>
        <v>11160</v>
      </c>
      <c r="K2" s="54">
        <f>54*25500*(1+2%)</f>
        <v>1404540</v>
      </c>
      <c r="L2" s="38">
        <f t="shared" ref="L2" si="0">F2*K2</f>
        <v>25281720</v>
      </c>
      <c r="M2" s="55">
        <v>0.15</v>
      </c>
      <c r="N2" s="38">
        <f>K2/(1-M2)</f>
        <v>1652400</v>
      </c>
      <c r="O2" s="38">
        <f>N2*F2</f>
        <v>29743200</v>
      </c>
      <c r="P2" s="58">
        <f>N2*1.1</f>
        <v>1817640.0000000002</v>
      </c>
    </row>
    <row r="3" spans="1:17" s="1" customFormat="1" ht="84" customHeight="1" x14ac:dyDescent="0.35">
      <c r="A3" s="10">
        <v>2</v>
      </c>
      <c r="B3" s="10" t="s">
        <v>23</v>
      </c>
      <c r="C3" s="36" t="s">
        <v>98</v>
      </c>
      <c r="D3" s="10" t="s">
        <v>92</v>
      </c>
      <c r="E3" s="37" t="s">
        <v>10</v>
      </c>
      <c r="F3" s="37">
        <v>1</v>
      </c>
      <c r="G3" s="38">
        <v>18600000</v>
      </c>
      <c r="H3" s="38">
        <f t="shared" ref="H3:H22" si="1">F3*G3</f>
        <v>18600000</v>
      </c>
      <c r="I3" s="38" t="s">
        <v>20</v>
      </c>
      <c r="K3" s="13">
        <v>13276000</v>
      </c>
      <c r="L3" s="38">
        <f>F3*K3</f>
        <v>13276000</v>
      </c>
      <c r="M3" s="55">
        <v>0.15</v>
      </c>
      <c r="N3" s="38">
        <f t="shared" ref="N3:N22" si="2">K3/(1-M3)</f>
        <v>15618823.529411765</v>
      </c>
      <c r="O3" s="38">
        <f t="shared" ref="O3:O22" si="3">N3*F3</f>
        <v>15618823.529411765</v>
      </c>
      <c r="P3" s="58">
        <f t="shared" ref="P3:P22" si="4">N3*1.1</f>
        <v>17180705.882352944</v>
      </c>
    </row>
    <row r="4" spans="1:17" s="1" customFormat="1" ht="45.65" customHeight="1" x14ac:dyDescent="0.35">
      <c r="A4" s="10">
        <v>3</v>
      </c>
      <c r="B4" s="10" t="s">
        <v>93</v>
      </c>
      <c r="C4" s="36" t="s">
        <v>94</v>
      </c>
      <c r="D4" s="10" t="s">
        <v>92</v>
      </c>
      <c r="E4" s="37" t="s">
        <v>10</v>
      </c>
      <c r="F4" s="37">
        <v>1</v>
      </c>
      <c r="G4" s="38">
        <v>1900000</v>
      </c>
      <c r="H4" s="38">
        <f t="shared" si="1"/>
        <v>1900000</v>
      </c>
      <c r="I4" s="38" t="s">
        <v>46</v>
      </c>
      <c r="K4" s="54">
        <v>544000</v>
      </c>
      <c r="L4" s="38">
        <f>F4*K4</f>
        <v>544000</v>
      </c>
      <c r="M4" s="55">
        <v>0.15</v>
      </c>
      <c r="N4" s="38">
        <f t="shared" si="2"/>
        <v>640000</v>
      </c>
      <c r="O4" s="38">
        <f t="shared" si="3"/>
        <v>640000</v>
      </c>
      <c r="P4" s="58">
        <f t="shared" si="4"/>
        <v>704000</v>
      </c>
    </row>
    <row r="5" spans="1:17" s="1" customFormat="1" x14ac:dyDescent="0.35">
      <c r="A5" s="50">
        <v>4</v>
      </c>
      <c r="B5" s="50" t="s">
        <v>3</v>
      </c>
      <c r="C5" s="40" t="s">
        <v>0</v>
      </c>
      <c r="D5" s="10" t="s">
        <v>5</v>
      </c>
      <c r="E5" s="10" t="s">
        <v>8</v>
      </c>
      <c r="F5" s="37">
        <v>20</v>
      </c>
      <c r="G5" s="38">
        <v>11000</v>
      </c>
      <c r="H5" s="38">
        <f t="shared" si="1"/>
        <v>220000</v>
      </c>
      <c r="I5" s="38" t="s">
        <v>20</v>
      </c>
      <c r="J5" s="41" t="s">
        <v>102</v>
      </c>
      <c r="K5" s="54">
        <v>8800</v>
      </c>
      <c r="L5" s="38">
        <f t="shared" ref="L5:L25" si="5">F5*K5</f>
        <v>176000</v>
      </c>
      <c r="M5" s="55">
        <v>0.1</v>
      </c>
      <c r="N5" s="38">
        <f t="shared" si="2"/>
        <v>9777.7777777777774</v>
      </c>
      <c r="O5" s="38">
        <f t="shared" si="3"/>
        <v>195555.55555555556</v>
      </c>
      <c r="P5" s="58">
        <f t="shared" si="4"/>
        <v>10755.555555555557</v>
      </c>
    </row>
    <row r="6" spans="1:17" s="1" customFormat="1" x14ac:dyDescent="0.35">
      <c r="A6" s="50"/>
      <c r="B6" s="50"/>
      <c r="C6" s="40" t="s">
        <v>13</v>
      </c>
      <c r="D6" s="10" t="s">
        <v>5</v>
      </c>
      <c r="E6" s="10" t="s">
        <v>8</v>
      </c>
      <c r="F6" s="37">
        <v>32</v>
      </c>
      <c r="G6" s="38">
        <v>11000</v>
      </c>
      <c r="H6" s="38">
        <f t="shared" si="1"/>
        <v>352000</v>
      </c>
      <c r="I6" s="38" t="s">
        <v>20</v>
      </c>
      <c r="K6" s="54">
        <v>8800</v>
      </c>
      <c r="L6" s="38">
        <f t="shared" si="5"/>
        <v>281600</v>
      </c>
      <c r="M6" s="55">
        <v>0.1</v>
      </c>
      <c r="N6" s="38">
        <f t="shared" si="2"/>
        <v>9777.7777777777774</v>
      </c>
      <c r="O6" s="38">
        <f t="shared" si="3"/>
        <v>312888.88888888888</v>
      </c>
      <c r="P6" s="58">
        <f t="shared" si="4"/>
        <v>10755.555555555557</v>
      </c>
    </row>
    <row r="7" spans="1:17" s="1" customFormat="1" x14ac:dyDescent="0.35">
      <c r="A7" s="50"/>
      <c r="B7" s="50"/>
      <c r="C7" s="40" t="s">
        <v>40</v>
      </c>
      <c r="D7" s="10" t="s">
        <v>5</v>
      </c>
      <c r="E7" s="10" t="s">
        <v>8</v>
      </c>
      <c r="F7" s="37">
        <v>11</v>
      </c>
      <c r="G7" s="38">
        <v>360000</v>
      </c>
      <c r="H7" s="38">
        <f t="shared" si="1"/>
        <v>3960000</v>
      </c>
      <c r="I7" s="38" t="s">
        <v>20</v>
      </c>
      <c r="J7" s="66">
        <f>18*2*1.2/4.2</f>
        <v>10.285714285714285</v>
      </c>
      <c r="K7" s="54">
        <v>294000</v>
      </c>
      <c r="L7" s="38">
        <f t="shared" si="5"/>
        <v>3234000</v>
      </c>
      <c r="M7" s="55">
        <v>0.1</v>
      </c>
      <c r="N7" s="38">
        <f t="shared" si="2"/>
        <v>326666.66666666669</v>
      </c>
      <c r="O7" s="38">
        <f t="shared" si="3"/>
        <v>3593333.3333333335</v>
      </c>
      <c r="P7" s="58">
        <f t="shared" si="4"/>
        <v>359333.33333333337</v>
      </c>
    </row>
    <row r="8" spans="1:17" s="1" customFormat="1" x14ac:dyDescent="0.35">
      <c r="A8" s="50"/>
      <c r="B8" s="50"/>
      <c r="C8" s="40" t="s">
        <v>25</v>
      </c>
      <c r="D8" s="10" t="s">
        <v>5</v>
      </c>
      <c r="E8" s="10" t="s">
        <v>8</v>
      </c>
      <c r="F8" s="37">
        <v>11</v>
      </c>
      <c r="G8" s="38">
        <v>20000</v>
      </c>
      <c r="H8" s="38">
        <f t="shared" si="1"/>
        <v>220000</v>
      </c>
      <c r="I8" s="38" t="s">
        <v>20</v>
      </c>
      <c r="K8" s="54">
        <v>12800</v>
      </c>
      <c r="L8" s="38">
        <f t="shared" si="5"/>
        <v>140800</v>
      </c>
      <c r="M8" s="55">
        <v>0.1</v>
      </c>
      <c r="N8" s="38">
        <f t="shared" si="2"/>
        <v>14222.222222222223</v>
      </c>
      <c r="O8" s="38">
        <f t="shared" si="3"/>
        <v>156444.44444444444</v>
      </c>
      <c r="P8" s="58">
        <f t="shared" si="4"/>
        <v>15644.444444444445</v>
      </c>
    </row>
    <row r="9" spans="1:17" s="1" customFormat="1" x14ac:dyDescent="0.35">
      <c r="A9" s="50"/>
      <c r="B9" s="50"/>
      <c r="C9" s="40" t="s">
        <v>26</v>
      </c>
      <c r="D9" s="10" t="s">
        <v>5</v>
      </c>
      <c r="E9" s="10" t="s">
        <v>8</v>
      </c>
      <c r="F9" s="37">
        <v>66</v>
      </c>
      <c r="G9" s="38">
        <v>20000</v>
      </c>
      <c r="H9" s="38">
        <f t="shared" si="1"/>
        <v>1320000</v>
      </c>
      <c r="I9" s="38" t="s">
        <v>20</v>
      </c>
      <c r="K9" s="54">
        <v>16000</v>
      </c>
      <c r="L9" s="38">
        <f t="shared" si="5"/>
        <v>1056000</v>
      </c>
      <c r="M9" s="55">
        <v>0.1</v>
      </c>
      <c r="N9" s="38">
        <f t="shared" si="2"/>
        <v>17777.777777777777</v>
      </c>
      <c r="O9" s="38">
        <f t="shared" si="3"/>
        <v>1173333.3333333333</v>
      </c>
      <c r="P9" s="58">
        <f t="shared" si="4"/>
        <v>19555.555555555558</v>
      </c>
    </row>
    <row r="10" spans="1:17" s="1" customFormat="1" x14ac:dyDescent="0.35">
      <c r="A10" s="50"/>
      <c r="B10" s="50"/>
      <c r="C10" s="40" t="s">
        <v>30</v>
      </c>
      <c r="D10" s="10" t="s">
        <v>5</v>
      </c>
      <c r="E10" s="10" t="s">
        <v>8</v>
      </c>
      <c r="F10" s="37">
        <v>6</v>
      </c>
      <c r="G10" s="38">
        <v>20000</v>
      </c>
      <c r="H10" s="38">
        <f t="shared" si="1"/>
        <v>120000</v>
      </c>
      <c r="I10" s="38" t="s">
        <v>20</v>
      </c>
      <c r="K10" s="54">
        <v>12600</v>
      </c>
      <c r="L10" s="38">
        <f t="shared" si="5"/>
        <v>75600</v>
      </c>
      <c r="M10" s="55">
        <v>0.1</v>
      </c>
      <c r="N10" s="38">
        <f t="shared" si="2"/>
        <v>14000</v>
      </c>
      <c r="O10" s="38">
        <f t="shared" si="3"/>
        <v>84000</v>
      </c>
      <c r="P10" s="58">
        <f t="shared" si="4"/>
        <v>15400.000000000002</v>
      </c>
    </row>
    <row r="11" spans="1:17" s="1" customFormat="1" x14ac:dyDescent="0.35">
      <c r="A11" s="50"/>
      <c r="B11" s="50"/>
      <c r="C11" s="40" t="s">
        <v>31</v>
      </c>
      <c r="D11" s="10" t="s">
        <v>5</v>
      </c>
      <c r="E11" s="10" t="s">
        <v>8</v>
      </c>
      <c r="F11" s="37">
        <f>F6</f>
        <v>32</v>
      </c>
      <c r="G11" s="38">
        <v>2000</v>
      </c>
      <c r="H11" s="38">
        <f t="shared" si="1"/>
        <v>64000</v>
      </c>
      <c r="I11" s="38" t="s">
        <v>20</v>
      </c>
      <c r="K11" s="54">
        <v>1500</v>
      </c>
      <c r="L11" s="38">
        <f t="shared" si="5"/>
        <v>48000</v>
      </c>
      <c r="M11" s="55">
        <v>0.1</v>
      </c>
      <c r="N11" s="38">
        <f t="shared" si="2"/>
        <v>1666.6666666666665</v>
      </c>
      <c r="O11" s="38">
        <f t="shared" si="3"/>
        <v>53333.333333333328</v>
      </c>
      <c r="P11" s="58">
        <f t="shared" si="4"/>
        <v>1833.3333333333333</v>
      </c>
    </row>
    <row r="12" spans="1:17" s="1" customFormat="1" ht="29" x14ac:dyDescent="0.35">
      <c r="A12" s="50">
        <v>5</v>
      </c>
      <c r="B12" s="50" t="s">
        <v>4</v>
      </c>
      <c r="C12" s="39" t="s">
        <v>27</v>
      </c>
      <c r="D12" s="10" t="s">
        <v>1</v>
      </c>
      <c r="E12" s="10" t="s">
        <v>17</v>
      </c>
      <c r="F12" s="37">
        <v>100</v>
      </c>
      <c r="G12" s="38">
        <v>18000</v>
      </c>
      <c r="H12" s="38">
        <f t="shared" si="1"/>
        <v>1800000</v>
      </c>
      <c r="I12" s="38" t="s">
        <v>20</v>
      </c>
      <c r="K12" s="54">
        <v>12000</v>
      </c>
      <c r="L12" s="38">
        <f t="shared" si="5"/>
        <v>1200000</v>
      </c>
      <c r="M12" s="55">
        <v>0.1</v>
      </c>
      <c r="N12" s="38">
        <f t="shared" si="2"/>
        <v>13333.333333333332</v>
      </c>
      <c r="O12" s="38">
        <f t="shared" si="3"/>
        <v>1333333.3333333333</v>
      </c>
      <c r="P12" s="58">
        <f t="shared" si="4"/>
        <v>14666.666666666666</v>
      </c>
    </row>
    <row r="13" spans="1:17" s="1" customFormat="1" ht="29" x14ac:dyDescent="0.35">
      <c r="A13" s="50"/>
      <c r="B13" s="50"/>
      <c r="C13" s="39" t="s">
        <v>28</v>
      </c>
      <c r="D13" s="10" t="s">
        <v>1</v>
      </c>
      <c r="E13" s="10" t="s">
        <v>17</v>
      </c>
      <c r="F13" s="37">
        <v>100</v>
      </c>
      <c r="G13" s="38">
        <v>18000</v>
      </c>
      <c r="H13" s="38">
        <f t="shared" si="1"/>
        <v>1800000</v>
      </c>
      <c r="I13" s="38" t="s">
        <v>20</v>
      </c>
      <c r="K13" s="54">
        <v>12000</v>
      </c>
      <c r="L13" s="38">
        <f t="shared" si="5"/>
        <v>1200000</v>
      </c>
      <c r="M13" s="55">
        <v>0.1</v>
      </c>
      <c r="N13" s="38">
        <f t="shared" si="2"/>
        <v>13333.333333333332</v>
      </c>
      <c r="O13" s="38">
        <f t="shared" si="3"/>
        <v>1333333.3333333333</v>
      </c>
      <c r="P13" s="58">
        <f t="shared" si="4"/>
        <v>14666.666666666666</v>
      </c>
    </row>
    <row r="14" spans="1:17" s="1" customFormat="1" ht="29" x14ac:dyDescent="0.35">
      <c r="A14" s="50"/>
      <c r="B14" s="50"/>
      <c r="C14" s="40" t="s">
        <v>103</v>
      </c>
      <c r="D14" s="10" t="s">
        <v>97</v>
      </c>
      <c r="E14" s="10" t="s">
        <v>17</v>
      </c>
      <c r="F14" s="37">
        <v>20</v>
      </c>
      <c r="G14" s="38">
        <v>80000</v>
      </c>
      <c r="H14" s="38">
        <f t="shared" si="1"/>
        <v>1600000</v>
      </c>
      <c r="I14" s="38" t="s">
        <v>20</v>
      </c>
      <c r="K14" s="54">
        <v>65000</v>
      </c>
      <c r="L14" s="38">
        <f t="shared" si="5"/>
        <v>1300000</v>
      </c>
      <c r="M14" s="55">
        <v>0.1</v>
      </c>
      <c r="N14" s="38">
        <f t="shared" si="2"/>
        <v>72222.222222222219</v>
      </c>
      <c r="O14" s="38">
        <f t="shared" si="3"/>
        <v>1444444.4444444445</v>
      </c>
      <c r="P14" s="58">
        <f t="shared" si="4"/>
        <v>79444.444444444453</v>
      </c>
    </row>
    <row r="15" spans="1:17" s="1" customFormat="1" x14ac:dyDescent="0.35">
      <c r="A15" s="50"/>
      <c r="B15" s="50"/>
      <c r="C15" s="39" t="s">
        <v>9</v>
      </c>
      <c r="D15" s="10" t="s">
        <v>5</v>
      </c>
      <c r="E15" s="10" t="s">
        <v>17</v>
      </c>
      <c r="F15" s="37">
        <v>20</v>
      </c>
      <c r="G15" s="38">
        <v>15000</v>
      </c>
      <c r="H15" s="38">
        <f t="shared" si="1"/>
        <v>300000</v>
      </c>
      <c r="I15" s="38" t="s">
        <v>20</v>
      </c>
      <c r="K15" s="54">
        <v>12000</v>
      </c>
      <c r="L15" s="38">
        <f t="shared" si="5"/>
        <v>240000</v>
      </c>
      <c r="M15" s="55">
        <v>0.1</v>
      </c>
      <c r="N15" s="38">
        <f t="shared" si="2"/>
        <v>13333.333333333332</v>
      </c>
      <c r="O15" s="38">
        <f t="shared" si="3"/>
        <v>266666.66666666663</v>
      </c>
      <c r="P15" s="58">
        <f t="shared" si="4"/>
        <v>14666.666666666666</v>
      </c>
    </row>
    <row r="16" spans="1:17" s="1" customFormat="1" x14ac:dyDescent="0.35">
      <c r="A16" s="50"/>
      <c r="B16" s="50"/>
      <c r="C16" s="39" t="s">
        <v>16</v>
      </c>
      <c r="D16" s="10" t="s">
        <v>1</v>
      </c>
      <c r="E16" s="10" t="s">
        <v>10</v>
      </c>
      <c r="F16" s="37">
        <v>8</v>
      </c>
      <c r="G16" s="38">
        <v>30000</v>
      </c>
      <c r="H16" s="38">
        <f t="shared" si="1"/>
        <v>240000</v>
      </c>
      <c r="I16" s="38" t="s">
        <v>20</v>
      </c>
      <c r="K16" s="54">
        <v>20000</v>
      </c>
      <c r="L16" s="38">
        <f t="shared" si="5"/>
        <v>160000</v>
      </c>
      <c r="M16" s="55">
        <v>0.1</v>
      </c>
      <c r="N16" s="38">
        <f t="shared" si="2"/>
        <v>22222.222222222223</v>
      </c>
      <c r="O16" s="38">
        <f t="shared" si="3"/>
        <v>177777.77777777778</v>
      </c>
      <c r="P16" s="58">
        <f t="shared" si="4"/>
        <v>24444.444444444445</v>
      </c>
    </row>
    <row r="17" spans="1:16" s="1" customFormat="1" ht="91.5" customHeight="1" x14ac:dyDescent="0.35">
      <c r="A17" s="10">
        <v>6</v>
      </c>
      <c r="B17" s="10" t="s">
        <v>18</v>
      </c>
      <c r="C17" s="39" t="s">
        <v>100</v>
      </c>
      <c r="D17" s="10" t="s">
        <v>2</v>
      </c>
      <c r="E17" s="10" t="s">
        <v>10</v>
      </c>
      <c r="F17" s="37">
        <v>1</v>
      </c>
      <c r="G17" s="38">
        <v>3500000</v>
      </c>
      <c r="H17" s="38">
        <f t="shared" si="1"/>
        <v>3500000</v>
      </c>
      <c r="I17" s="38" t="s">
        <v>46</v>
      </c>
      <c r="K17" s="7">
        <f>2060000/1.1+100000</f>
        <v>1972727.2727272725</v>
      </c>
      <c r="L17" s="38">
        <f t="shared" si="5"/>
        <v>1972727.2727272725</v>
      </c>
      <c r="M17" s="55">
        <v>0.1</v>
      </c>
      <c r="N17" s="38">
        <f t="shared" si="2"/>
        <v>2191919.1919191917</v>
      </c>
      <c r="O17" s="38">
        <f t="shared" si="3"/>
        <v>2191919.1919191917</v>
      </c>
      <c r="P17" s="58">
        <f t="shared" si="4"/>
        <v>2411111.111111111</v>
      </c>
    </row>
    <row r="18" spans="1:16" s="1" customFormat="1" x14ac:dyDescent="0.35">
      <c r="A18" s="50">
        <v>7</v>
      </c>
      <c r="B18" s="52" t="s">
        <v>6</v>
      </c>
      <c r="C18" s="39" t="s">
        <v>21</v>
      </c>
      <c r="D18" s="10" t="s">
        <v>22</v>
      </c>
      <c r="E18" s="10" t="s">
        <v>17</v>
      </c>
      <c r="F18" s="37">
        <v>60</v>
      </c>
      <c r="G18" s="38">
        <v>15000</v>
      </c>
      <c r="H18" s="38">
        <f t="shared" si="1"/>
        <v>900000</v>
      </c>
      <c r="I18" s="38" t="s">
        <v>46</v>
      </c>
      <c r="K18" s="7">
        <v>12000</v>
      </c>
      <c r="L18" s="38">
        <f t="shared" si="5"/>
        <v>720000</v>
      </c>
      <c r="M18" s="55">
        <v>0.1</v>
      </c>
      <c r="N18" s="38">
        <f t="shared" si="2"/>
        <v>13333.333333333332</v>
      </c>
      <c r="O18" s="38">
        <f t="shared" si="3"/>
        <v>799999.99999999988</v>
      </c>
      <c r="P18" s="58">
        <f t="shared" si="4"/>
        <v>14666.666666666666</v>
      </c>
    </row>
    <row r="19" spans="1:16" s="1" customFormat="1" x14ac:dyDescent="0.35">
      <c r="A19" s="50"/>
      <c r="B19" s="52"/>
      <c r="C19" s="39" t="s">
        <v>14</v>
      </c>
      <c r="D19" s="10" t="s">
        <v>5</v>
      </c>
      <c r="E19" s="10" t="s">
        <v>8</v>
      </c>
      <c r="F19" s="37">
        <v>2</v>
      </c>
      <c r="G19" s="38">
        <v>250000</v>
      </c>
      <c r="H19" s="38">
        <f t="shared" si="1"/>
        <v>500000</v>
      </c>
      <c r="I19" s="38" t="s">
        <v>46</v>
      </c>
      <c r="K19" s="7">
        <v>200000</v>
      </c>
      <c r="L19" s="38">
        <f t="shared" si="5"/>
        <v>400000</v>
      </c>
      <c r="M19" s="55">
        <v>0.1</v>
      </c>
      <c r="N19" s="38">
        <f t="shared" si="2"/>
        <v>222222.22222222222</v>
      </c>
      <c r="O19" s="38">
        <f t="shared" si="3"/>
        <v>444444.44444444444</v>
      </c>
      <c r="P19" s="58">
        <f t="shared" si="4"/>
        <v>244444.44444444447</v>
      </c>
    </row>
    <row r="20" spans="1:16" s="1" customFormat="1" x14ac:dyDescent="0.35">
      <c r="A20" s="50"/>
      <c r="B20" s="52"/>
      <c r="C20" s="42" t="s">
        <v>24</v>
      </c>
      <c r="D20" s="10" t="s">
        <v>5</v>
      </c>
      <c r="E20" s="10" t="s">
        <v>17</v>
      </c>
      <c r="F20" s="37">
        <v>60</v>
      </c>
      <c r="G20" s="38">
        <v>15000</v>
      </c>
      <c r="H20" s="38">
        <f t="shared" si="1"/>
        <v>900000</v>
      </c>
      <c r="I20" s="38" t="s">
        <v>46</v>
      </c>
      <c r="K20" s="7">
        <v>12000</v>
      </c>
      <c r="L20" s="38">
        <f t="shared" si="5"/>
        <v>720000</v>
      </c>
      <c r="M20" s="55">
        <v>0.1</v>
      </c>
      <c r="N20" s="38">
        <f t="shared" si="2"/>
        <v>13333.333333333332</v>
      </c>
      <c r="O20" s="38">
        <f t="shared" si="3"/>
        <v>799999.99999999988</v>
      </c>
      <c r="P20" s="58">
        <f t="shared" si="4"/>
        <v>14666.666666666666</v>
      </c>
    </row>
    <row r="21" spans="1:16" s="1" customFormat="1" ht="29" x14ac:dyDescent="0.35">
      <c r="A21" s="50">
        <v>8</v>
      </c>
      <c r="B21" s="50" t="s">
        <v>7</v>
      </c>
      <c r="C21" s="42" t="s">
        <v>29</v>
      </c>
      <c r="D21" s="10" t="s">
        <v>2</v>
      </c>
      <c r="E21" s="10" t="s">
        <v>10</v>
      </c>
      <c r="F21" s="37">
        <v>1</v>
      </c>
      <c r="G21" s="38">
        <v>1000000</v>
      </c>
      <c r="H21" s="38">
        <f t="shared" si="1"/>
        <v>1000000</v>
      </c>
      <c r="I21" s="38"/>
      <c r="K21" s="7">
        <v>1000000</v>
      </c>
      <c r="L21" s="38">
        <f t="shared" si="5"/>
        <v>1000000</v>
      </c>
      <c r="M21" s="55">
        <v>0.1</v>
      </c>
      <c r="N21" s="38">
        <f>K21/(1-M21)</f>
        <v>1111111.111111111</v>
      </c>
      <c r="O21" s="38">
        <f t="shared" si="3"/>
        <v>1111111.111111111</v>
      </c>
      <c r="P21" s="58">
        <f t="shared" si="4"/>
        <v>1222222.2222222222</v>
      </c>
    </row>
    <row r="22" spans="1:16" s="1" customFormat="1" x14ac:dyDescent="0.35">
      <c r="A22" s="50"/>
      <c r="B22" s="51"/>
      <c r="C22" s="40" t="s">
        <v>50</v>
      </c>
      <c r="D22" s="10" t="s">
        <v>2</v>
      </c>
      <c r="E22" s="10" t="s">
        <v>10</v>
      </c>
      <c r="F22" s="37">
        <v>1</v>
      </c>
      <c r="G22" s="38">
        <v>9600000</v>
      </c>
      <c r="H22" s="38">
        <f t="shared" si="1"/>
        <v>9600000</v>
      </c>
      <c r="I22" s="38"/>
      <c r="K22" s="7">
        <f>900000*11.16+2000000</f>
        <v>12044000</v>
      </c>
      <c r="L22" s="38">
        <f t="shared" si="5"/>
        <v>12044000</v>
      </c>
      <c r="M22" s="55">
        <v>0.1</v>
      </c>
      <c r="N22" s="38">
        <f t="shared" si="2"/>
        <v>13382222.222222222</v>
      </c>
      <c r="O22" s="38">
        <f t="shared" si="3"/>
        <v>13382222.222222222</v>
      </c>
      <c r="P22" s="58">
        <f t="shared" si="4"/>
        <v>14720444.444444446</v>
      </c>
    </row>
    <row r="23" spans="1:16" s="1" customFormat="1" ht="31.25" customHeight="1" x14ac:dyDescent="0.35">
      <c r="A23" s="51" t="s">
        <v>51</v>
      </c>
      <c r="B23" s="51"/>
      <c r="C23" s="51"/>
      <c r="D23" s="51"/>
      <c r="E23" s="51"/>
      <c r="F23" s="43"/>
      <c r="G23" s="43"/>
      <c r="H23" s="44">
        <f>SUM(H2:H22)</f>
        <v>86696000</v>
      </c>
      <c r="I23" s="39"/>
      <c r="K23" s="9" t="s">
        <v>71</v>
      </c>
      <c r="L23" s="57">
        <f>SUM(L2:L22)</f>
        <v>65070447.272727273</v>
      </c>
      <c r="M23" s="57"/>
      <c r="N23" s="57"/>
      <c r="O23" s="57">
        <f>SUM(O2:O22)</f>
        <v>74856164.943553194</v>
      </c>
      <c r="P23" s="57"/>
    </row>
    <row r="24" spans="1:16" x14ac:dyDescent="0.5">
      <c r="K24" s="9" t="s">
        <v>72</v>
      </c>
      <c r="L24" s="57">
        <f>L23*1.1</f>
        <v>71577492</v>
      </c>
      <c r="M24" s="57"/>
      <c r="N24" s="57"/>
      <c r="O24" s="57">
        <f>O23*1.1</f>
        <v>82341781.437908515</v>
      </c>
      <c r="P24" s="57"/>
    </row>
  </sheetData>
  <mergeCells count="9">
    <mergeCell ref="A21:A22"/>
    <mergeCell ref="B21:B22"/>
    <mergeCell ref="A23:E23"/>
    <mergeCell ref="A12:A16"/>
    <mergeCell ref="B12:B16"/>
    <mergeCell ref="A18:A20"/>
    <mergeCell ref="B18:B20"/>
    <mergeCell ref="B5:B11"/>
    <mergeCell ref="A5:A11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C614-7168-4013-9F3E-239F34151559}">
  <dimension ref="A1:Q25"/>
  <sheetViews>
    <sheetView topLeftCell="A10" zoomScale="60" zoomScaleNormal="60" workbookViewId="0">
      <selection activeCell="F18" sqref="F18:F20"/>
    </sheetView>
  </sheetViews>
  <sheetFormatPr defaultColWidth="15.7265625" defaultRowHeight="21" x14ac:dyDescent="0.5"/>
  <cols>
    <col min="1" max="1" width="4.6328125" style="2" bestFit="1" customWidth="1"/>
    <col min="2" max="2" width="16.36328125" style="3" customWidth="1"/>
    <col min="3" max="3" width="49.81640625" style="2" customWidth="1"/>
    <col min="4" max="4" width="14.453125" style="4" customWidth="1"/>
    <col min="5" max="5" width="11.1796875" style="4" customWidth="1"/>
    <col min="6" max="7" width="16.453125" style="4" customWidth="1"/>
    <col min="8" max="8" width="16.7265625" style="4" customWidth="1"/>
    <col min="9" max="9" width="12.81640625" style="5" customWidth="1"/>
    <col min="10" max="10" width="15.7265625" style="2"/>
    <col min="11" max="11" width="19.6328125" style="5" customWidth="1"/>
    <col min="12" max="12" width="15.54296875" style="5" bestFit="1" customWidth="1"/>
    <col min="13" max="13" width="15.26953125" style="5" customWidth="1"/>
    <col min="14" max="14" width="18.54296875" style="5" customWidth="1"/>
    <col min="15" max="15" width="15.26953125" style="5" bestFit="1" customWidth="1"/>
    <col min="16" max="16" width="23.179687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68</v>
      </c>
      <c r="O1" s="53" t="s">
        <v>57</v>
      </c>
      <c r="P1" s="65" t="s">
        <v>73</v>
      </c>
      <c r="Q1" s="8"/>
    </row>
    <row r="2" spans="1:17" s="1" customFormat="1" ht="94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14</v>
      </c>
      <c r="G2" s="38">
        <v>2100000</v>
      </c>
      <c r="H2" s="38">
        <f>F2*G2</f>
        <v>29400000</v>
      </c>
      <c r="I2" s="38" t="s">
        <v>19</v>
      </c>
      <c r="J2" s="1">
        <f>14*620</f>
        <v>8680</v>
      </c>
      <c r="K2" s="54">
        <f>54*25500*(1+2%)</f>
        <v>1404540</v>
      </c>
      <c r="L2" s="38">
        <f t="shared" ref="L2" si="0">F2*K2</f>
        <v>19663560</v>
      </c>
      <c r="M2" s="55">
        <v>0.15</v>
      </c>
      <c r="N2" s="38">
        <f>K2/(1-M2)</f>
        <v>1652400</v>
      </c>
      <c r="O2" s="38">
        <f>N2*F2</f>
        <v>23133600</v>
      </c>
      <c r="P2" s="58">
        <f>N2*1.1</f>
        <v>1817640.0000000002</v>
      </c>
    </row>
    <row r="3" spans="1:17" s="1" customFormat="1" ht="84" customHeight="1" x14ac:dyDescent="0.35">
      <c r="A3" s="10">
        <v>2</v>
      </c>
      <c r="B3" s="10" t="s">
        <v>23</v>
      </c>
      <c r="C3" s="36" t="s">
        <v>106</v>
      </c>
      <c r="D3" s="10" t="s">
        <v>92</v>
      </c>
      <c r="E3" s="37" t="s">
        <v>10</v>
      </c>
      <c r="F3" s="37">
        <v>1</v>
      </c>
      <c r="G3" s="38">
        <v>16300000</v>
      </c>
      <c r="H3" s="38">
        <f t="shared" ref="H3:H4" si="1">F3*G3</f>
        <v>16300000</v>
      </c>
      <c r="I3" s="38" t="s">
        <v>20</v>
      </c>
      <c r="K3" s="13">
        <v>11793000</v>
      </c>
      <c r="L3" s="38">
        <f>F3*K3</f>
        <v>11793000</v>
      </c>
      <c r="M3" s="55">
        <v>0.15</v>
      </c>
      <c r="N3" s="38">
        <f t="shared" ref="N3:N22" si="2">K3/(1-M3)</f>
        <v>13874117.647058824</v>
      </c>
      <c r="O3" s="38">
        <f t="shared" ref="O3:O22" si="3">N3*F3</f>
        <v>13874117.647058824</v>
      </c>
      <c r="P3" s="58">
        <f t="shared" ref="P3:P22" si="4">N3*1.1</f>
        <v>15261529.411764707</v>
      </c>
    </row>
    <row r="4" spans="1:17" s="1" customFormat="1" ht="45.65" customHeight="1" x14ac:dyDescent="0.35">
      <c r="A4" s="10">
        <v>3</v>
      </c>
      <c r="B4" s="10" t="s">
        <v>93</v>
      </c>
      <c r="C4" s="36" t="s">
        <v>107</v>
      </c>
      <c r="D4" s="10" t="s">
        <v>92</v>
      </c>
      <c r="E4" s="37" t="s">
        <v>10</v>
      </c>
      <c r="F4" s="37">
        <v>1</v>
      </c>
      <c r="G4" s="38">
        <v>5600000</v>
      </c>
      <c r="H4" s="38">
        <f t="shared" si="1"/>
        <v>5600000</v>
      </c>
      <c r="I4" s="38" t="s">
        <v>46</v>
      </c>
      <c r="K4" s="7">
        <f>3449000+870000</f>
        <v>4319000</v>
      </c>
      <c r="L4" s="38">
        <f>F4*K4</f>
        <v>4319000</v>
      </c>
      <c r="M4" s="55">
        <v>0.15</v>
      </c>
      <c r="N4" s="38">
        <f t="shared" si="2"/>
        <v>5081176.4705882352</v>
      </c>
      <c r="O4" s="38">
        <f t="shared" si="3"/>
        <v>5081176.4705882352</v>
      </c>
      <c r="P4" s="58">
        <f t="shared" si="4"/>
        <v>5589294.1176470593</v>
      </c>
    </row>
    <row r="5" spans="1:17" s="1" customFormat="1" x14ac:dyDescent="0.35">
      <c r="A5" s="50">
        <v>4</v>
      </c>
      <c r="B5" s="50" t="s">
        <v>3</v>
      </c>
      <c r="C5" s="40" t="s">
        <v>0</v>
      </c>
      <c r="D5" s="10" t="s">
        <v>5</v>
      </c>
      <c r="E5" s="10" t="s">
        <v>8</v>
      </c>
      <c r="F5" s="37">
        <v>16</v>
      </c>
      <c r="G5" s="38">
        <v>11000</v>
      </c>
      <c r="H5" s="38">
        <f t="shared" ref="H3:H22" si="5">F5*G5</f>
        <v>176000</v>
      </c>
      <c r="I5" s="38" t="s">
        <v>20</v>
      </c>
      <c r="J5" s="41" t="s">
        <v>99</v>
      </c>
      <c r="K5" s="54">
        <v>8800</v>
      </c>
      <c r="L5" s="38">
        <f t="shared" ref="L5:L25" si="6">F5*K5</f>
        <v>140800</v>
      </c>
      <c r="M5" s="55">
        <v>0.1</v>
      </c>
      <c r="N5" s="38">
        <f t="shared" si="2"/>
        <v>9777.7777777777774</v>
      </c>
      <c r="O5" s="38">
        <f t="shared" si="3"/>
        <v>156444.44444444444</v>
      </c>
      <c r="P5" s="58">
        <f t="shared" si="4"/>
        <v>10755.555555555557</v>
      </c>
    </row>
    <row r="6" spans="1:17" s="1" customFormat="1" x14ac:dyDescent="0.35">
      <c r="A6" s="50"/>
      <c r="B6" s="50"/>
      <c r="C6" s="40" t="s">
        <v>13</v>
      </c>
      <c r="D6" s="10" t="s">
        <v>5</v>
      </c>
      <c r="E6" s="10" t="s">
        <v>8</v>
      </c>
      <c r="F6" s="37">
        <v>16</v>
      </c>
      <c r="G6" s="38">
        <v>11000</v>
      </c>
      <c r="H6" s="38">
        <f t="shared" si="5"/>
        <v>176000</v>
      </c>
      <c r="I6" s="38" t="s">
        <v>20</v>
      </c>
      <c r="K6" s="54">
        <v>8800</v>
      </c>
      <c r="L6" s="38">
        <f t="shared" si="6"/>
        <v>140800</v>
      </c>
      <c r="M6" s="55">
        <v>0.1</v>
      </c>
      <c r="N6" s="38">
        <f t="shared" si="2"/>
        <v>9777.7777777777774</v>
      </c>
      <c r="O6" s="38">
        <f t="shared" si="3"/>
        <v>156444.44444444444</v>
      </c>
      <c r="P6" s="58">
        <f t="shared" si="4"/>
        <v>10755.555555555557</v>
      </c>
    </row>
    <row r="7" spans="1:17" s="1" customFormat="1" x14ac:dyDescent="0.35">
      <c r="A7" s="50"/>
      <c r="B7" s="50"/>
      <c r="C7" s="40" t="s">
        <v>40</v>
      </c>
      <c r="D7" s="10" t="s">
        <v>5</v>
      </c>
      <c r="E7" s="10" t="s">
        <v>8</v>
      </c>
      <c r="F7" s="37">
        <v>8</v>
      </c>
      <c r="G7" s="38">
        <v>360000</v>
      </c>
      <c r="H7" s="38">
        <f t="shared" si="5"/>
        <v>2880000</v>
      </c>
      <c r="I7" s="38" t="s">
        <v>20</v>
      </c>
      <c r="J7" s="66">
        <f>14*2*1.2/4.2</f>
        <v>8</v>
      </c>
      <c r="K7" s="54">
        <v>294000</v>
      </c>
      <c r="L7" s="38">
        <f t="shared" si="6"/>
        <v>2352000</v>
      </c>
      <c r="M7" s="55">
        <v>0.1</v>
      </c>
      <c r="N7" s="38">
        <f t="shared" si="2"/>
        <v>326666.66666666669</v>
      </c>
      <c r="O7" s="38">
        <f t="shared" si="3"/>
        <v>2613333.3333333335</v>
      </c>
      <c r="P7" s="58">
        <f t="shared" si="4"/>
        <v>359333.33333333337</v>
      </c>
    </row>
    <row r="8" spans="1:17" s="1" customFormat="1" x14ac:dyDescent="0.35">
      <c r="A8" s="50"/>
      <c r="B8" s="50"/>
      <c r="C8" s="40" t="s">
        <v>25</v>
      </c>
      <c r="D8" s="10" t="s">
        <v>5</v>
      </c>
      <c r="E8" s="10" t="s">
        <v>8</v>
      </c>
      <c r="F8" s="37">
        <v>8</v>
      </c>
      <c r="G8" s="38">
        <v>20000</v>
      </c>
      <c r="H8" s="38">
        <f t="shared" si="5"/>
        <v>160000</v>
      </c>
      <c r="I8" s="38" t="s">
        <v>20</v>
      </c>
      <c r="K8" s="54">
        <v>12800</v>
      </c>
      <c r="L8" s="38">
        <f t="shared" si="6"/>
        <v>102400</v>
      </c>
      <c r="M8" s="55">
        <v>0.1</v>
      </c>
      <c r="N8" s="38">
        <f t="shared" si="2"/>
        <v>14222.222222222223</v>
      </c>
      <c r="O8" s="38">
        <f t="shared" si="3"/>
        <v>113777.77777777778</v>
      </c>
      <c r="P8" s="58">
        <f t="shared" si="4"/>
        <v>15644.444444444445</v>
      </c>
    </row>
    <row r="9" spans="1:17" s="1" customFormat="1" x14ac:dyDescent="0.35">
      <c r="A9" s="50"/>
      <c r="B9" s="50"/>
      <c r="C9" s="40" t="s">
        <v>26</v>
      </c>
      <c r="D9" s="10" t="s">
        <v>5</v>
      </c>
      <c r="E9" s="10" t="s">
        <v>8</v>
      </c>
      <c r="F9" s="37">
        <v>32</v>
      </c>
      <c r="G9" s="38">
        <v>20000</v>
      </c>
      <c r="H9" s="38">
        <f t="shared" si="5"/>
        <v>640000</v>
      </c>
      <c r="I9" s="38" t="s">
        <v>20</v>
      </c>
      <c r="K9" s="54">
        <v>16000</v>
      </c>
      <c r="L9" s="38">
        <f t="shared" si="6"/>
        <v>512000</v>
      </c>
      <c r="M9" s="55">
        <v>0.1</v>
      </c>
      <c r="N9" s="38">
        <f t="shared" si="2"/>
        <v>17777.777777777777</v>
      </c>
      <c r="O9" s="38">
        <f t="shared" si="3"/>
        <v>568888.88888888888</v>
      </c>
      <c r="P9" s="58">
        <f t="shared" si="4"/>
        <v>19555.555555555558</v>
      </c>
    </row>
    <row r="10" spans="1:17" s="1" customFormat="1" x14ac:dyDescent="0.35">
      <c r="A10" s="50"/>
      <c r="B10" s="50"/>
      <c r="C10" s="40" t="s">
        <v>30</v>
      </c>
      <c r="D10" s="10" t="s">
        <v>5</v>
      </c>
      <c r="E10" s="10" t="s">
        <v>8</v>
      </c>
      <c r="F10" s="37">
        <v>4</v>
      </c>
      <c r="G10" s="38">
        <v>20000</v>
      </c>
      <c r="H10" s="38">
        <f t="shared" si="5"/>
        <v>80000</v>
      </c>
      <c r="I10" s="38" t="s">
        <v>20</v>
      </c>
      <c r="K10" s="54">
        <v>12600</v>
      </c>
      <c r="L10" s="38">
        <f t="shared" si="6"/>
        <v>50400</v>
      </c>
      <c r="M10" s="55">
        <v>0.1</v>
      </c>
      <c r="N10" s="38">
        <f t="shared" si="2"/>
        <v>14000</v>
      </c>
      <c r="O10" s="38">
        <f t="shared" si="3"/>
        <v>56000</v>
      </c>
      <c r="P10" s="58">
        <f t="shared" si="4"/>
        <v>15400.000000000002</v>
      </c>
    </row>
    <row r="11" spans="1:17" s="1" customFormat="1" x14ac:dyDescent="0.35">
      <c r="A11" s="50"/>
      <c r="B11" s="50"/>
      <c r="C11" s="40" t="s">
        <v>31</v>
      </c>
      <c r="D11" s="10" t="s">
        <v>5</v>
      </c>
      <c r="E11" s="10" t="s">
        <v>8</v>
      </c>
      <c r="F11" s="37">
        <f>F6</f>
        <v>16</v>
      </c>
      <c r="G11" s="38">
        <v>2000</v>
      </c>
      <c r="H11" s="38">
        <f t="shared" si="5"/>
        <v>32000</v>
      </c>
      <c r="I11" s="38" t="s">
        <v>20</v>
      </c>
      <c r="K11" s="54">
        <v>1500</v>
      </c>
      <c r="L11" s="38">
        <f t="shared" si="6"/>
        <v>24000</v>
      </c>
      <c r="M11" s="55">
        <v>0.1</v>
      </c>
      <c r="N11" s="38">
        <f t="shared" si="2"/>
        <v>1666.6666666666665</v>
      </c>
      <c r="O11" s="38">
        <f t="shared" si="3"/>
        <v>26666.666666666664</v>
      </c>
      <c r="P11" s="58">
        <f t="shared" si="4"/>
        <v>1833.3333333333333</v>
      </c>
    </row>
    <row r="12" spans="1:17" s="1" customFormat="1" ht="29" x14ac:dyDescent="0.35">
      <c r="A12" s="50">
        <v>5</v>
      </c>
      <c r="B12" s="50" t="s">
        <v>4</v>
      </c>
      <c r="C12" s="39" t="s">
        <v>27</v>
      </c>
      <c r="D12" s="10" t="s">
        <v>1</v>
      </c>
      <c r="E12" s="10" t="s">
        <v>17</v>
      </c>
      <c r="F12" s="37">
        <v>80</v>
      </c>
      <c r="G12" s="38">
        <v>18000</v>
      </c>
      <c r="H12" s="38">
        <f t="shared" si="5"/>
        <v>1440000</v>
      </c>
      <c r="I12" s="38" t="s">
        <v>20</v>
      </c>
      <c r="K12" s="54">
        <v>12000</v>
      </c>
      <c r="L12" s="38">
        <f t="shared" si="6"/>
        <v>960000</v>
      </c>
      <c r="M12" s="55">
        <v>0.1</v>
      </c>
      <c r="N12" s="38">
        <f t="shared" si="2"/>
        <v>13333.333333333332</v>
      </c>
      <c r="O12" s="38">
        <f t="shared" si="3"/>
        <v>1066666.6666666665</v>
      </c>
      <c r="P12" s="58">
        <f t="shared" si="4"/>
        <v>14666.666666666666</v>
      </c>
    </row>
    <row r="13" spans="1:17" s="1" customFormat="1" ht="29" x14ac:dyDescent="0.35">
      <c r="A13" s="50"/>
      <c r="B13" s="50"/>
      <c r="C13" s="39" t="s">
        <v>28</v>
      </c>
      <c r="D13" s="10" t="s">
        <v>1</v>
      </c>
      <c r="E13" s="10" t="s">
        <v>17</v>
      </c>
      <c r="F13" s="37">
        <v>80</v>
      </c>
      <c r="G13" s="38">
        <v>18000</v>
      </c>
      <c r="H13" s="38">
        <f t="shared" si="5"/>
        <v>1440000</v>
      </c>
      <c r="I13" s="38" t="s">
        <v>20</v>
      </c>
      <c r="K13" s="54">
        <v>12000</v>
      </c>
      <c r="L13" s="38">
        <f t="shared" si="6"/>
        <v>960000</v>
      </c>
      <c r="M13" s="55">
        <v>0.1</v>
      </c>
      <c r="N13" s="38">
        <f t="shared" si="2"/>
        <v>13333.333333333332</v>
      </c>
      <c r="O13" s="38">
        <f t="shared" si="3"/>
        <v>1066666.6666666665</v>
      </c>
      <c r="P13" s="58">
        <f t="shared" si="4"/>
        <v>14666.666666666666</v>
      </c>
    </row>
    <row r="14" spans="1:17" s="1" customFormat="1" ht="43.5" x14ac:dyDescent="0.35">
      <c r="A14" s="50"/>
      <c r="B14" s="50"/>
      <c r="C14" s="40" t="s">
        <v>108</v>
      </c>
      <c r="D14" s="10" t="s">
        <v>80</v>
      </c>
      <c r="E14" s="10" t="s">
        <v>17</v>
      </c>
      <c r="F14" s="37">
        <v>20</v>
      </c>
      <c r="G14" s="38">
        <v>150000</v>
      </c>
      <c r="H14" s="38">
        <f t="shared" si="5"/>
        <v>3000000</v>
      </c>
      <c r="I14" s="38" t="s">
        <v>20</v>
      </c>
      <c r="K14" s="7">
        <f>135000/1.1+100000/20</f>
        <v>127727.27272727272</v>
      </c>
      <c r="L14" s="38">
        <f t="shared" si="6"/>
        <v>2554545.4545454546</v>
      </c>
      <c r="M14" s="55">
        <v>0.1</v>
      </c>
      <c r="N14" s="38">
        <f t="shared" si="2"/>
        <v>141919.19191919192</v>
      </c>
      <c r="O14" s="38">
        <f t="shared" si="3"/>
        <v>2838383.8383838385</v>
      </c>
      <c r="P14" s="58">
        <f t="shared" si="4"/>
        <v>156111.11111111112</v>
      </c>
    </row>
    <row r="15" spans="1:17" s="1" customFormat="1" x14ac:dyDescent="0.35">
      <c r="A15" s="50"/>
      <c r="B15" s="50"/>
      <c r="C15" s="39" t="s">
        <v>9</v>
      </c>
      <c r="D15" s="10" t="s">
        <v>5</v>
      </c>
      <c r="E15" s="10" t="s">
        <v>17</v>
      </c>
      <c r="F15" s="37">
        <v>20</v>
      </c>
      <c r="G15" s="38">
        <v>15000</v>
      </c>
      <c r="H15" s="38">
        <f t="shared" si="5"/>
        <v>300000</v>
      </c>
      <c r="I15" s="38" t="s">
        <v>20</v>
      </c>
      <c r="K15" s="54">
        <v>12000</v>
      </c>
      <c r="L15" s="38">
        <f t="shared" si="6"/>
        <v>240000</v>
      </c>
      <c r="M15" s="55">
        <v>0.1</v>
      </c>
      <c r="N15" s="38">
        <f t="shared" si="2"/>
        <v>13333.333333333332</v>
      </c>
      <c r="O15" s="38">
        <f t="shared" si="3"/>
        <v>266666.66666666663</v>
      </c>
      <c r="P15" s="58">
        <f t="shared" si="4"/>
        <v>14666.666666666666</v>
      </c>
    </row>
    <row r="16" spans="1:17" s="1" customFormat="1" x14ac:dyDescent="0.35">
      <c r="A16" s="50"/>
      <c r="B16" s="50"/>
      <c r="C16" s="39" t="s">
        <v>16</v>
      </c>
      <c r="D16" s="10" t="s">
        <v>1</v>
      </c>
      <c r="E16" s="10" t="s">
        <v>10</v>
      </c>
      <c r="F16" s="37">
        <v>8</v>
      </c>
      <c r="G16" s="38">
        <v>30000</v>
      </c>
      <c r="H16" s="38">
        <f t="shared" si="5"/>
        <v>240000</v>
      </c>
      <c r="I16" s="38" t="s">
        <v>20</v>
      </c>
      <c r="K16" s="54">
        <v>20000</v>
      </c>
      <c r="L16" s="38">
        <f t="shared" si="6"/>
        <v>160000</v>
      </c>
      <c r="M16" s="55">
        <v>0.1</v>
      </c>
      <c r="N16" s="38">
        <f t="shared" si="2"/>
        <v>22222.222222222223</v>
      </c>
      <c r="O16" s="38">
        <f t="shared" si="3"/>
        <v>177777.77777777778</v>
      </c>
      <c r="P16" s="58">
        <f t="shared" si="4"/>
        <v>24444.444444444445</v>
      </c>
    </row>
    <row r="17" spans="1:16" s="1" customFormat="1" ht="115" customHeight="1" x14ac:dyDescent="0.35">
      <c r="A17" s="10">
        <v>6</v>
      </c>
      <c r="B17" s="10" t="s">
        <v>18</v>
      </c>
      <c r="C17" s="39" t="s">
        <v>112</v>
      </c>
      <c r="D17" s="10" t="s">
        <v>2</v>
      </c>
      <c r="E17" s="10" t="s">
        <v>10</v>
      </c>
      <c r="F17" s="37">
        <v>1</v>
      </c>
      <c r="G17" s="38">
        <v>4500000</v>
      </c>
      <c r="H17" s="38">
        <f t="shared" si="5"/>
        <v>4500000</v>
      </c>
      <c r="I17" s="38" t="s">
        <v>46</v>
      </c>
      <c r="K17" s="7">
        <f>2640000/1.1+100000</f>
        <v>2500000</v>
      </c>
      <c r="L17" s="38">
        <f t="shared" si="6"/>
        <v>2500000</v>
      </c>
      <c r="M17" s="55">
        <v>0.1</v>
      </c>
      <c r="N17" s="38">
        <f t="shared" si="2"/>
        <v>2777777.7777777775</v>
      </c>
      <c r="O17" s="38">
        <f t="shared" si="3"/>
        <v>2777777.7777777775</v>
      </c>
      <c r="P17" s="58">
        <f t="shared" si="4"/>
        <v>3055555.5555555555</v>
      </c>
    </row>
    <row r="18" spans="1:16" s="1" customFormat="1" x14ac:dyDescent="0.35">
      <c r="A18" s="50">
        <v>7</v>
      </c>
      <c r="B18" s="52" t="s">
        <v>6</v>
      </c>
      <c r="C18" s="39" t="s">
        <v>21</v>
      </c>
      <c r="D18" s="10" t="s">
        <v>22</v>
      </c>
      <c r="E18" s="10" t="s">
        <v>17</v>
      </c>
      <c r="F18" s="37">
        <v>60</v>
      </c>
      <c r="G18" s="38">
        <v>15000</v>
      </c>
      <c r="H18" s="38">
        <f t="shared" si="5"/>
        <v>900000</v>
      </c>
      <c r="I18" s="38" t="s">
        <v>46</v>
      </c>
      <c r="K18" s="7">
        <v>12000</v>
      </c>
      <c r="L18" s="38">
        <f t="shared" si="6"/>
        <v>720000</v>
      </c>
      <c r="M18" s="55">
        <v>0.1</v>
      </c>
      <c r="N18" s="38">
        <f t="shared" si="2"/>
        <v>13333.333333333332</v>
      </c>
      <c r="O18" s="38">
        <f t="shared" si="3"/>
        <v>799999.99999999988</v>
      </c>
      <c r="P18" s="58">
        <f t="shared" si="4"/>
        <v>14666.666666666666</v>
      </c>
    </row>
    <row r="19" spans="1:16" s="1" customFormat="1" x14ac:dyDescent="0.35">
      <c r="A19" s="50"/>
      <c r="B19" s="52"/>
      <c r="C19" s="39" t="s">
        <v>14</v>
      </c>
      <c r="D19" s="10" t="s">
        <v>5</v>
      </c>
      <c r="E19" s="10" t="s">
        <v>8</v>
      </c>
      <c r="F19" s="37">
        <v>2</v>
      </c>
      <c r="G19" s="38">
        <v>250000</v>
      </c>
      <c r="H19" s="38">
        <f t="shared" si="5"/>
        <v>500000</v>
      </c>
      <c r="I19" s="38" t="s">
        <v>46</v>
      </c>
      <c r="K19" s="7">
        <v>200000</v>
      </c>
      <c r="L19" s="38">
        <f t="shared" si="6"/>
        <v>400000</v>
      </c>
      <c r="M19" s="55">
        <v>0.1</v>
      </c>
      <c r="N19" s="38">
        <f t="shared" si="2"/>
        <v>222222.22222222222</v>
      </c>
      <c r="O19" s="38">
        <f t="shared" si="3"/>
        <v>444444.44444444444</v>
      </c>
      <c r="P19" s="58">
        <f t="shared" si="4"/>
        <v>244444.44444444447</v>
      </c>
    </row>
    <row r="20" spans="1:16" s="1" customFormat="1" x14ac:dyDescent="0.35">
      <c r="A20" s="50"/>
      <c r="B20" s="52"/>
      <c r="C20" s="42" t="s">
        <v>24</v>
      </c>
      <c r="D20" s="10" t="s">
        <v>5</v>
      </c>
      <c r="E20" s="10" t="s">
        <v>17</v>
      </c>
      <c r="F20" s="37">
        <v>60</v>
      </c>
      <c r="G20" s="38">
        <v>15000</v>
      </c>
      <c r="H20" s="38">
        <f t="shared" si="5"/>
        <v>900000</v>
      </c>
      <c r="I20" s="38" t="s">
        <v>46</v>
      </c>
      <c r="K20" s="7">
        <v>12000</v>
      </c>
      <c r="L20" s="38">
        <f t="shared" si="6"/>
        <v>720000</v>
      </c>
      <c r="M20" s="55">
        <v>0.1</v>
      </c>
      <c r="N20" s="38">
        <f t="shared" si="2"/>
        <v>13333.333333333332</v>
      </c>
      <c r="O20" s="38">
        <f t="shared" si="3"/>
        <v>799999.99999999988</v>
      </c>
      <c r="P20" s="58">
        <f t="shared" si="4"/>
        <v>14666.666666666666</v>
      </c>
    </row>
    <row r="21" spans="1:16" s="1" customFormat="1" ht="29" x14ac:dyDescent="0.35">
      <c r="A21" s="50">
        <v>8</v>
      </c>
      <c r="B21" s="50" t="s">
        <v>7</v>
      </c>
      <c r="C21" s="42" t="s">
        <v>29</v>
      </c>
      <c r="D21" s="10" t="s">
        <v>2</v>
      </c>
      <c r="E21" s="10" t="s">
        <v>10</v>
      </c>
      <c r="F21" s="37">
        <v>1</v>
      </c>
      <c r="G21" s="38">
        <v>1000000</v>
      </c>
      <c r="H21" s="38">
        <f t="shared" si="5"/>
        <v>1000000</v>
      </c>
      <c r="I21" s="38"/>
      <c r="K21" s="7">
        <v>1000000</v>
      </c>
      <c r="L21" s="38">
        <f t="shared" si="6"/>
        <v>1000000</v>
      </c>
      <c r="M21" s="55">
        <v>0.1</v>
      </c>
      <c r="N21" s="38">
        <f>K21/(1-M21)</f>
        <v>1111111.111111111</v>
      </c>
      <c r="O21" s="38">
        <f t="shared" si="3"/>
        <v>1111111.111111111</v>
      </c>
      <c r="P21" s="58">
        <f t="shared" si="4"/>
        <v>1222222.2222222222</v>
      </c>
    </row>
    <row r="22" spans="1:16" s="1" customFormat="1" x14ac:dyDescent="0.35">
      <c r="A22" s="50"/>
      <c r="B22" s="51"/>
      <c r="C22" s="40" t="s">
        <v>50</v>
      </c>
      <c r="D22" s="10" t="s">
        <v>2</v>
      </c>
      <c r="E22" s="10" t="s">
        <v>10</v>
      </c>
      <c r="F22" s="37">
        <v>1</v>
      </c>
      <c r="G22" s="38">
        <v>7900000</v>
      </c>
      <c r="H22" s="38">
        <f t="shared" si="5"/>
        <v>7900000</v>
      </c>
      <c r="I22" s="38"/>
      <c r="K22" s="7">
        <f>900000*8.68+2000000</f>
        <v>9812000</v>
      </c>
      <c r="L22" s="38">
        <f t="shared" si="6"/>
        <v>9812000</v>
      </c>
      <c r="M22" s="55">
        <v>0.1</v>
      </c>
      <c r="N22" s="38">
        <f t="shared" si="2"/>
        <v>10902222.222222222</v>
      </c>
      <c r="O22" s="38">
        <f t="shared" si="3"/>
        <v>10902222.222222222</v>
      </c>
      <c r="P22" s="58">
        <f t="shared" si="4"/>
        <v>11992444.444444446</v>
      </c>
    </row>
    <row r="23" spans="1:16" s="1" customFormat="1" ht="31.25" customHeight="1" x14ac:dyDescent="0.35">
      <c r="A23" s="51" t="s">
        <v>51</v>
      </c>
      <c r="B23" s="51"/>
      <c r="C23" s="51"/>
      <c r="D23" s="51"/>
      <c r="E23" s="51"/>
      <c r="F23" s="43"/>
      <c r="G23" s="43"/>
      <c r="H23" s="44">
        <f>SUM(H2:H22)</f>
        <v>77564000</v>
      </c>
      <c r="I23" s="39"/>
      <c r="K23" s="9" t="s">
        <v>71</v>
      </c>
      <c r="L23" s="57">
        <f>SUM(L2:L22)</f>
        <v>59124505.454545453</v>
      </c>
      <c r="M23" s="57"/>
      <c r="N23" s="57"/>
      <c r="O23" s="57">
        <f>SUM(O2:O22)</f>
        <v>68032166.844919786</v>
      </c>
      <c r="P23" s="57"/>
    </row>
    <row r="24" spans="1:16" x14ac:dyDescent="0.5">
      <c r="K24" s="9" t="s">
        <v>72</v>
      </c>
      <c r="L24" s="57">
        <f>L23*1.1</f>
        <v>65036956.000000007</v>
      </c>
      <c r="M24" s="57"/>
      <c r="N24" s="57"/>
      <c r="O24" s="57">
        <f>O23*1.1</f>
        <v>74835383.529411778</v>
      </c>
      <c r="P24" s="57"/>
    </row>
    <row r="25" spans="1:16" x14ac:dyDescent="0.5">
      <c r="H25" s="68"/>
    </row>
  </sheetData>
  <mergeCells count="9">
    <mergeCell ref="A23:E23"/>
    <mergeCell ref="A12:A16"/>
    <mergeCell ref="B12:B16"/>
    <mergeCell ref="A18:A20"/>
    <mergeCell ref="B18:B20"/>
    <mergeCell ref="B5:B11"/>
    <mergeCell ref="A5:A11"/>
    <mergeCell ref="A21:A22"/>
    <mergeCell ref="B21:B22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E3AB-6B21-4307-9429-6E251603FABB}">
  <dimension ref="A1:Q24"/>
  <sheetViews>
    <sheetView topLeftCell="B10" zoomScale="70" zoomScaleNormal="70" workbookViewId="0">
      <selection activeCell="F18" sqref="F18:F20"/>
    </sheetView>
  </sheetViews>
  <sheetFormatPr defaultColWidth="15.7265625" defaultRowHeight="21" x14ac:dyDescent="0.5"/>
  <cols>
    <col min="1" max="1" width="4.6328125" style="2" bestFit="1" customWidth="1"/>
    <col min="2" max="2" width="16.36328125" style="3" customWidth="1"/>
    <col min="3" max="3" width="49.81640625" style="2" customWidth="1"/>
    <col min="4" max="4" width="14.453125" style="4" customWidth="1"/>
    <col min="5" max="5" width="11.1796875" style="4" customWidth="1"/>
    <col min="6" max="8" width="16.453125" style="4" customWidth="1"/>
    <col min="9" max="9" width="12.81640625" style="5" customWidth="1"/>
    <col min="10" max="10" width="15.7265625" style="2"/>
    <col min="11" max="11" width="19.6328125" style="5" customWidth="1"/>
    <col min="12" max="12" width="15.54296875" style="5" bestFit="1" customWidth="1"/>
    <col min="13" max="13" width="15.26953125" style="5" customWidth="1"/>
    <col min="14" max="14" width="18.54296875" style="5" customWidth="1"/>
    <col min="15" max="15" width="15.26953125" style="5" bestFit="1" customWidth="1"/>
    <col min="16" max="16" width="23.179687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68</v>
      </c>
      <c r="O1" s="53" t="s">
        <v>57</v>
      </c>
      <c r="P1" s="65" t="s">
        <v>73</v>
      </c>
      <c r="Q1" s="8"/>
    </row>
    <row r="2" spans="1:17" s="1" customFormat="1" ht="94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18</v>
      </c>
      <c r="G2" s="38">
        <v>2100000</v>
      </c>
      <c r="H2" s="38">
        <f>F2*G2</f>
        <v>37800000</v>
      </c>
      <c r="I2" s="38" t="s">
        <v>19</v>
      </c>
      <c r="J2" s="1">
        <f>18*620</f>
        <v>11160</v>
      </c>
      <c r="K2" s="54">
        <f>54*25500*(1+2%)</f>
        <v>1404540</v>
      </c>
      <c r="L2" s="38">
        <f t="shared" ref="L2" si="0">F2*K2</f>
        <v>25281720</v>
      </c>
      <c r="M2" s="55">
        <v>0.15</v>
      </c>
      <c r="N2" s="38">
        <f>K2/(1-M2)</f>
        <v>1652400</v>
      </c>
      <c r="O2" s="38">
        <f>N2*F2</f>
        <v>29743200</v>
      </c>
      <c r="P2" s="58">
        <f>N2*1.1</f>
        <v>1817640.0000000002</v>
      </c>
    </row>
    <row r="3" spans="1:17" s="1" customFormat="1" ht="84" customHeight="1" x14ac:dyDescent="0.35">
      <c r="A3" s="10">
        <v>2</v>
      </c>
      <c r="B3" s="10" t="s">
        <v>23</v>
      </c>
      <c r="C3" s="36" t="s">
        <v>106</v>
      </c>
      <c r="D3" s="10" t="s">
        <v>92</v>
      </c>
      <c r="E3" s="37" t="s">
        <v>10</v>
      </c>
      <c r="F3" s="37">
        <v>1</v>
      </c>
      <c r="G3" s="38">
        <v>16300000</v>
      </c>
      <c r="H3" s="38">
        <f t="shared" ref="H3" si="1">F3*G3</f>
        <v>16300000</v>
      </c>
      <c r="I3" s="38" t="s">
        <v>20</v>
      </c>
      <c r="K3" s="13">
        <v>11793000</v>
      </c>
      <c r="L3" s="38">
        <f>F3*K3</f>
        <v>11793000</v>
      </c>
      <c r="M3" s="55">
        <v>0.15</v>
      </c>
      <c r="N3" s="38">
        <f t="shared" ref="N3:N22" si="2">K3/(1-M3)</f>
        <v>13874117.647058824</v>
      </c>
      <c r="O3" s="38">
        <f t="shared" ref="O3:O22" si="3">N3*F3</f>
        <v>13874117.647058824</v>
      </c>
      <c r="P3" s="58">
        <f t="shared" ref="P3:P22" si="4">N3*1.1</f>
        <v>15261529.411764707</v>
      </c>
    </row>
    <row r="4" spans="1:17" s="1" customFormat="1" ht="45.65" customHeight="1" x14ac:dyDescent="0.35">
      <c r="A4" s="10">
        <v>3</v>
      </c>
      <c r="B4" s="10" t="s">
        <v>93</v>
      </c>
      <c r="C4" s="36" t="s">
        <v>107</v>
      </c>
      <c r="D4" s="10" t="s">
        <v>92</v>
      </c>
      <c r="E4" s="37" t="s">
        <v>10</v>
      </c>
      <c r="F4" s="37">
        <v>1</v>
      </c>
      <c r="G4" s="38">
        <v>5600000</v>
      </c>
      <c r="H4" s="38">
        <f t="shared" ref="H3:H22" si="5">F4*G4</f>
        <v>5600000</v>
      </c>
      <c r="I4" s="38" t="s">
        <v>46</v>
      </c>
      <c r="K4" s="7">
        <f>3449000+870000</f>
        <v>4319000</v>
      </c>
      <c r="L4" s="38">
        <f>F4*K4</f>
        <v>4319000</v>
      </c>
      <c r="M4" s="55">
        <v>0.15</v>
      </c>
      <c r="N4" s="38">
        <f t="shared" si="2"/>
        <v>5081176.4705882352</v>
      </c>
      <c r="O4" s="38">
        <f t="shared" si="3"/>
        <v>5081176.4705882352</v>
      </c>
      <c r="P4" s="58">
        <f t="shared" si="4"/>
        <v>5589294.1176470593</v>
      </c>
    </row>
    <row r="5" spans="1:17" s="1" customFormat="1" x14ac:dyDescent="0.35">
      <c r="A5" s="50">
        <v>4</v>
      </c>
      <c r="B5" s="50" t="s">
        <v>3</v>
      </c>
      <c r="C5" s="40" t="s">
        <v>0</v>
      </c>
      <c r="D5" s="10" t="s">
        <v>5</v>
      </c>
      <c r="E5" s="10" t="s">
        <v>8</v>
      </c>
      <c r="F5" s="37">
        <v>20</v>
      </c>
      <c r="G5" s="38">
        <v>11000</v>
      </c>
      <c r="H5" s="38">
        <f t="shared" si="5"/>
        <v>220000</v>
      </c>
      <c r="I5" s="38" t="s">
        <v>20</v>
      </c>
      <c r="J5" s="41" t="s">
        <v>102</v>
      </c>
      <c r="K5" s="54">
        <v>8800</v>
      </c>
      <c r="L5" s="38">
        <f t="shared" ref="L5:L25" si="6">F5*K5</f>
        <v>176000</v>
      </c>
      <c r="M5" s="55">
        <v>0.1</v>
      </c>
      <c r="N5" s="38">
        <f t="shared" si="2"/>
        <v>9777.7777777777774</v>
      </c>
      <c r="O5" s="38">
        <f t="shared" si="3"/>
        <v>195555.55555555556</v>
      </c>
      <c r="P5" s="58">
        <f t="shared" si="4"/>
        <v>10755.555555555557</v>
      </c>
    </row>
    <row r="6" spans="1:17" s="1" customFormat="1" x14ac:dyDescent="0.35">
      <c r="A6" s="50"/>
      <c r="B6" s="50"/>
      <c r="C6" s="40" t="s">
        <v>13</v>
      </c>
      <c r="D6" s="10" t="s">
        <v>5</v>
      </c>
      <c r="E6" s="10" t="s">
        <v>8</v>
      </c>
      <c r="F6" s="37">
        <v>32</v>
      </c>
      <c r="G6" s="38">
        <v>11000</v>
      </c>
      <c r="H6" s="38">
        <f t="shared" si="5"/>
        <v>352000</v>
      </c>
      <c r="I6" s="38" t="s">
        <v>20</v>
      </c>
      <c r="K6" s="54">
        <v>8800</v>
      </c>
      <c r="L6" s="38">
        <f t="shared" si="6"/>
        <v>281600</v>
      </c>
      <c r="M6" s="55">
        <v>0.1</v>
      </c>
      <c r="N6" s="38">
        <f t="shared" si="2"/>
        <v>9777.7777777777774</v>
      </c>
      <c r="O6" s="38">
        <f t="shared" si="3"/>
        <v>312888.88888888888</v>
      </c>
      <c r="P6" s="58">
        <f t="shared" si="4"/>
        <v>10755.555555555557</v>
      </c>
    </row>
    <row r="7" spans="1:17" s="1" customFormat="1" x14ac:dyDescent="0.35">
      <c r="A7" s="50"/>
      <c r="B7" s="50"/>
      <c r="C7" s="40" t="s">
        <v>40</v>
      </c>
      <c r="D7" s="10" t="s">
        <v>5</v>
      </c>
      <c r="E7" s="10" t="s">
        <v>8</v>
      </c>
      <c r="F7" s="37">
        <v>11</v>
      </c>
      <c r="G7" s="38">
        <v>360000</v>
      </c>
      <c r="H7" s="38">
        <f t="shared" si="5"/>
        <v>3960000</v>
      </c>
      <c r="I7" s="38" t="s">
        <v>20</v>
      </c>
      <c r="J7" s="66">
        <f>18*2*1.2/4.2</f>
        <v>10.285714285714285</v>
      </c>
      <c r="K7" s="54">
        <v>294000</v>
      </c>
      <c r="L7" s="38">
        <f t="shared" si="6"/>
        <v>3234000</v>
      </c>
      <c r="M7" s="55">
        <v>0.1</v>
      </c>
      <c r="N7" s="38">
        <f t="shared" si="2"/>
        <v>326666.66666666669</v>
      </c>
      <c r="O7" s="38">
        <f t="shared" si="3"/>
        <v>3593333.3333333335</v>
      </c>
      <c r="P7" s="58">
        <f t="shared" si="4"/>
        <v>359333.33333333337</v>
      </c>
    </row>
    <row r="8" spans="1:17" s="1" customFormat="1" x14ac:dyDescent="0.35">
      <c r="A8" s="50"/>
      <c r="B8" s="50"/>
      <c r="C8" s="40" t="s">
        <v>25</v>
      </c>
      <c r="D8" s="10" t="s">
        <v>5</v>
      </c>
      <c r="E8" s="10" t="s">
        <v>8</v>
      </c>
      <c r="F8" s="37">
        <v>11</v>
      </c>
      <c r="G8" s="38">
        <v>20000</v>
      </c>
      <c r="H8" s="38">
        <f t="shared" si="5"/>
        <v>220000</v>
      </c>
      <c r="I8" s="38" t="s">
        <v>20</v>
      </c>
      <c r="K8" s="54">
        <v>12800</v>
      </c>
      <c r="L8" s="38">
        <f t="shared" si="6"/>
        <v>140800</v>
      </c>
      <c r="M8" s="55">
        <v>0.1</v>
      </c>
      <c r="N8" s="38">
        <f t="shared" si="2"/>
        <v>14222.222222222223</v>
      </c>
      <c r="O8" s="38">
        <f t="shared" si="3"/>
        <v>156444.44444444444</v>
      </c>
      <c r="P8" s="58">
        <f t="shared" si="4"/>
        <v>15644.444444444445</v>
      </c>
    </row>
    <row r="9" spans="1:17" s="1" customFormat="1" x14ac:dyDescent="0.35">
      <c r="A9" s="50"/>
      <c r="B9" s="50"/>
      <c r="C9" s="40" t="s">
        <v>26</v>
      </c>
      <c r="D9" s="10" t="s">
        <v>5</v>
      </c>
      <c r="E9" s="10" t="s">
        <v>8</v>
      </c>
      <c r="F9" s="37">
        <v>66</v>
      </c>
      <c r="G9" s="38">
        <v>20000</v>
      </c>
      <c r="H9" s="38">
        <f t="shared" si="5"/>
        <v>1320000</v>
      </c>
      <c r="I9" s="38" t="s">
        <v>20</v>
      </c>
      <c r="K9" s="54">
        <v>16000</v>
      </c>
      <c r="L9" s="38">
        <f t="shared" si="6"/>
        <v>1056000</v>
      </c>
      <c r="M9" s="55">
        <v>0.1</v>
      </c>
      <c r="N9" s="38">
        <f t="shared" si="2"/>
        <v>17777.777777777777</v>
      </c>
      <c r="O9" s="38">
        <f t="shared" si="3"/>
        <v>1173333.3333333333</v>
      </c>
      <c r="P9" s="58">
        <f t="shared" si="4"/>
        <v>19555.555555555558</v>
      </c>
    </row>
    <row r="10" spans="1:17" s="1" customFormat="1" x14ac:dyDescent="0.35">
      <c r="A10" s="50"/>
      <c r="B10" s="50"/>
      <c r="C10" s="40" t="s">
        <v>30</v>
      </c>
      <c r="D10" s="10" t="s">
        <v>5</v>
      </c>
      <c r="E10" s="10" t="s">
        <v>8</v>
      </c>
      <c r="F10" s="37">
        <v>6</v>
      </c>
      <c r="G10" s="38">
        <v>20000</v>
      </c>
      <c r="H10" s="38">
        <f t="shared" si="5"/>
        <v>120000</v>
      </c>
      <c r="I10" s="38" t="s">
        <v>20</v>
      </c>
      <c r="K10" s="54">
        <v>12600</v>
      </c>
      <c r="L10" s="38">
        <f t="shared" si="6"/>
        <v>75600</v>
      </c>
      <c r="M10" s="55">
        <v>0.1</v>
      </c>
      <c r="N10" s="38">
        <f t="shared" si="2"/>
        <v>14000</v>
      </c>
      <c r="O10" s="38">
        <f t="shared" si="3"/>
        <v>84000</v>
      </c>
      <c r="P10" s="58">
        <f t="shared" si="4"/>
        <v>15400.000000000002</v>
      </c>
    </row>
    <row r="11" spans="1:17" s="1" customFormat="1" x14ac:dyDescent="0.35">
      <c r="A11" s="50"/>
      <c r="B11" s="50"/>
      <c r="C11" s="40" t="s">
        <v>31</v>
      </c>
      <c r="D11" s="10" t="s">
        <v>5</v>
      </c>
      <c r="E11" s="10" t="s">
        <v>8</v>
      </c>
      <c r="F11" s="37">
        <f>F6</f>
        <v>32</v>
      </c>
      <c r="G11" s="38">
        <v>2000</v>
      </c>
      <c r="H11" s="38">
        <f t="shared" si="5"/>
        <v>64000</v>
      </c>
      <c r="I11" s="38" t="s">
        <v>20</v>
      </c>
      <c r="K11" s="54">
        <v>1500</v>
      </c>
      <c r="L11" s="38">
        <f t="shared" si="6"/>
        <v>48000</v>
      </c>
      <c r="M11" s="55">
        <v>0.1</v>
      </c>
      <c r="N11" s="38">
        <f t="shared" si="2"/>
        <v>1666.6666666666665</v>
      </c>
      <c r="O11" s="38">
        <f t="shared" si="3"/>
        <v>53333.333333333328</v>
      </c>
      <c r="P11" s="58">
        <f t="shared" si="4"/>
        <v>1833.3333333333333</v>
      </c>
    </row>
    <row r="12" spans="1:17" s="1" customFormat="1" ht="29" x14ac:dyDescent="0.35">
      <c r="A12" s="50">
        <v>5</v>
      </c>
      <c r="B12" s="50" t="s">
        <v>4</v>
      </c>
      <c r="C12" s="39" t="s">
        <v>27</v>
      </c>
      <c r="D12" s="10" t="s">
        <v>1</v>
      </c>
      <c r="E12" s="10" t="s">
        <v>17</v>
      </c>
      <c r="F12" s="37">
        <v>100</v>
      </c>
      <c r="G12" s="38">
        <v>18000</v>
      </c>
      <c r="H12" s="38">
        <f t="shared" si="5"/>
        <v>1800000</v>
      </c>
      <c r="I12" s="38" t="s">
        <v>20</v>
      </c>
      <c r="K12" s="54">
        <v>12000</v>
      </c>
      <c r="L12" s="38">
        <f t="shared" si="6"/>
        <v>1200000</v>
      </c>
      <c r="M12" s="55">
        <v>0.1</v>
      </c>
      <c r="N12" s="38">
        <f t="shared" si="2"/>
        <v>13333.333333333332</v>
      </c>
      <c r="O12" s="38">
        <f t="shared" si="3"/>
        <v>1333333.3333333333</v>
      </c>
      <c r="P12" s="58">
        <f t="shared" si="4"/>
        <v>14666.666666666666</v>
      </c>
    </row>
    <row r="13" spans="1:17" s="1" customFormat="1" ht="29" x14ac:dyDescent="0.35">
      <c r="A13" s="50"/>
      <c r="B13" s="50"/>
      <c r="C13" s="39" t="s">
        <v>28</v>
      </c>
      <c r="D13" s="10" t="s">
        <v>1</v>
      </c>
      <c r="E13" s="10" t="s">
        <v>17</v>
      </c>
      <c r="F13" s="37">
        <v>100</v>
      </c>
      <c r="G13" s="38">
        <v>18000</v>
      </c>
      <c r="H13" s="38">
        <f t="shared" si="5"/>
        <v>1800000</v>
      </c>
      <c r="I13" s="38" t="s">
        <v>20</v>
      </c>
      <c r="K13" s="54">
        <v>12000</v>
      </c>
      <c r="L13" s="38">
        <f t="shared" si="6"/>
        <v>1200000</v>
      </c>
      <c r="M13" s="55">
        <v>0.1</v>
      </c>
      <c r="N13" s="38">
        <f t="shared" si="2"/>
        <v>13333.333333333332</v>
      </c>
      <c r="O13" s="38">
        <f t="shared" si="3"/>
        <v>1333333.3333333333</v>
      </c>
      <c r="P13" s="58">
        <f t="shared" si="4"/>
        <v>14666.666666666666</v>
      </c>
    </row>
    <row r="14" spans="1:17" s="1" customFormat="1" ht="43.5" x14ac:dyDescent="0.35">
      <c r="A14" s="50"/>
      <c r="B14" s="50"/>
      <c r="C14" s="40" t="s">
        <v>108</v>
      </c>
      <c r="D14" s="10" t="s">
        <v>80</v>
      </c>
      <c r="E14" s="10" t="s">
        <v>17</v>
      </c>
      <c r="F14" s="37">
        <v>20</v>
      </c>
      <c r="G14" s="38">
        <v>150000</v>
      </c>
      <c r="H14" s="38">
        <f t="shared" si="5"/>
        <v>3000000</v>
      </c>
      <c r="I14" s="38" t="s">
        <v>20</v>
      </c>
      <c r="K14" s="7">
        <f>135000/1.1+100000/20</f>
        <v>127727.27272727272</v>
      </c>
      <c r="L14" s="38">
        <f t="shared" si="6"/>
        <v>2554545.4545454546</v>
      </c>
      <c r="M14" s="55">
        <v>0.1</v>
      </c>
      <c r="N14" s="38">
        <f t="shared" si="2"/>
        <v>141919.19191919192</v>
      </c>
      <c r="O14" s="38">
        <f t="shared" si="3"/>
        <v>2838383.8383838385</v>
      </c>
      <c r="P14" s="58">
        <f t="shared" si="4"/>
        <v>156111.11111111112</v>
      </c>
    </row>
    <row r="15" spans="1:17" s="1" customFormat="1" x14ac:dyDescent="0.35">
      <c r="A15" s="50"/>
      <c r="B15" s="50"/>
      <c r="C15" s="39" t="s">
        <v>9</v>
      </c>
      <c r="D15" s="10" t="s">
        <v>5</v>
      </c>
      <c r="E15" s="10" t="s">
        <v>17</v>
      </c>
      <c r="F15" s="37">
        <v>20</v>
      </c>
      <c r="G15" s="38">
        <v>15000</v>
      </c>
      <c r="H15" s="38">
        <f t="shared" si="5"/>
        <v>300000</v>
      </c>
      <c r="I15" s="38" t="s">
        <v>20</v>
      </c>
      <c r="K15" s="54">
        <v>12000</v>
      </c>
      <c r="L15" s="38">
        <f t="shared" si="6"/>
        <v>240000</v>
      </c>
      <c r="M15" s="55">
        <v>0.1</v>
      </c>
      <c r="N15" s="38">
        <f t="shared" si="2"/>
        <v>13333.333333333332</v>
      </c>
      <c r="O15" s="38">
        <f t="shared" si="3"/>
        <v>266666.66666666663</v>
      </c>
      <c r="P15" s="58">
        <f t="shared" si="4"/>
        <v>14666.666666666666</v>
      </c>
    </row>
    <row r="16" spans="1:17" s="1" customFormat="1" x14ac:dyDescent="0.35">
      <c r="A16" s="50"/>
      <c r="B16" s="50"/>
      <c r="C16" s="39" t="s">
        <v>16</v>
      </c>
      <c r="D16" s="10" t="s">
        <v>1</v>
      </c>
      <c r="E16" s="10" t="s">
        <v>10</v>
      </c>
      <c r="F16" s="37">
        <v>8</v>
      </c>
      <c r="G16" s="38">
        <v>30000</v>
      </c>
      <c r="H16" s="38">
        <f t="shared" si="5"/>
        <v>240000</v>
      </c>
      <c r="I16" s="38" t="s">
        <v>20</v>
      </c>
      <c r="K16" s="54">
        <v>20000</v>
      </c>
      <c r="L16" s="38">
        <f t="shared" si="6"/>
        <v>160000</v>
      </c>
      <c r="M16" s="55">
        <v>0.1</v>
      </c>
      <c r="N16" s="38">
        <f t="shared" si="2"/>
        <v>22222.222222222223</v>
      </c>
      <c r="O16" s="38">
        <f t="shared" si="3"/>
        <v>177777.77777777778</v>
      </c>
      <c r="P16" s="58">
        <f t="shared" si="4"/>
        <v>24444.444444444445</v>
      </c>
    </row>
    <row r="17" spans="1:16" s="1" customFormat="1" ht="102" customHeight="1" x14ac:dyDescent="0.35">
      <c r="A17" s="10">
        <v>6</v>
      </c>
      <c r="B17" s="10" t="s">
        <v>18</v>
      </c>
      <c r="C17" s="39" t="s">
        <v>112</v>
      </c>
      <c r="D17" s="10" t="s">
        <v>2</v>
      </c>
      <c r="E17" s="10" t="s">
        <v>10</v>
      </c>
      <c r="F17" s="37">
        <v>1</v>
      </c>
      <c r="G17" s="38">
        <v>4500000</v>
      </c>
      <c r="H17" s="38">
        <f t="shared" si="5"/>
        <v>4500000</v>
      </c>
      <c r="I17" s="38" t="s">
        <v>46</v>
      </c>
      <c r="K17" s="7">
        <f>2640000/1.1+100000</f>
        <v>2500000</v>
      </c>
      <c r="L17" s="38">
        <f t="shared" si="6"/>
        <v>2500000</v>
      </c>
      <c r="M17" s="55">
        <v>0.1</v>
      </c>
      <c r="N17" s="38">
        <f t="shared" si="2"/>
        <v>2777777.7777777775</v>
      </c>
      <c r="O17" s="38">
        <f t="shared" si="3"/>
        <v>2777777.7777777775</v>
      </c>
      <c r="P17" s="58">
        <f t="shared" si="4"/>
        <v>3055555.5555555555</v>
      </c>
    </row>
    <row r="18" spans="1:16" s="1" customFormat="1" x14ac:dyDescent="0.35">
      <c r="A18" s="50">
        <v>7</v>
      </c>
      <c r="B18" s="52" t="s">
        <v>6</v>
      </c>
      <c r="C18" s="39" t="s">
        <v>21</v>
      </c>
      <c r="D18" s="10" t="s">
        <v>22</v>
      </c>
      <c r="E18" s="10" t="s">
        <v>17</v>
      </c>
      <c r="F18" s="37">
        <v>60</v>
      </c>
      <c r="G18" s="38">
        <v>15000</v>
      </c>
      <c r="H18" s="38">
        <f t="shared" si="5"/>
        <v>900000</v>
      </c>
      <c r="I18" s="38" t="s">
        <v>46</v>
      </c>
      <c r="K18" s="7">
        <v>12000</v>
      </c>
      <c r="L18" s="38">
        <f t="shared" si="6"/>
        <v>720000</v>
      </c>
      <c r="M18" s="55">
        <v>0.1</v>
      </c>
      <c r="N18" s="38">
        <f t="shared" si="2"/>
        <v>13333.333333333332</v>
      </c>
      <c r="O18" s="38">
        <f t="shared" si="3"/>
        <v>799999.99999999988</v>
      </c>
      <c r="P18" s="58">
        <f t="shared" si="4"/>
        <v>14666.666666666666</v>
      </c>
    </row>
    <row r="19" spans="1:16" s="1" customFormat="1" x14ac:dyDescent="0.35">
      <c r="A19" s="50"/>
      <c r="B19" s="52"/>
      <c r="C19" s="39" t="s">
        <v>14</v>
      </c>
      <c r="D19" s="10" t="s">
        <v>5</v>
      </c>
      <c r="E19" s="10" t="s">
        <v>8</v>
      </c>
      <c r="F19" s="37">
        <v>2</v>
      </c>
      <c r="G19" s="38">
        <v>250000</v>
      </c>
      <c r="H19" s="38">
        <f t="shared" si="5"/>
        <v>500000</v>
      </c>
      <c r="I19" s="38" t="s">
        <v>46</v>
      </c>
      <c r="K19" s="7">
        <v>200000</v>
      </c>
      <c r="L19" s="38">
        <f t="shared" si="6"/>
        <v>400000</v>
      </c>
      <c r="M19" s="55">
        <v>0.1</v>
      </c>
      <c r="N19" s="38">
        <f t="shared" si="2"/>
        <v>222222.22222222222</v>
      </c>
      <c r="O19" s="38">
        <f t="shared" si="3"/>
        <v>444444.44444444444</v>
      </c>
      <c r="P19" s="58">
        <f t="shared" si="4"/>
        <v>244444.44444444447</v>
      </c>
    </row>
    <row r="20" spans="1:16" s="1" customFormat="1" x14ac:dyDescent="0.35">
      <c r="A20" s="50"/>
      <c r="B20" s="52"/>
      <c r="C20" s="42" t="s">
        <v>24</v>
      </c>
      <c r="D20" s="10" t="s">
        <v>5</v>
      </c>
      <c r="E20" s="10" t="s">
        <v>17</v>
      </c>
      <c r="F20" s="37">
        <v>60</v>
      </c>
      <c r="G20" s="38">
        <v>15000</v>
      </c>
      <c r="H20" s="38">
        <f t="shared" si="5"/>
        <v>900000</v>
      </c>
      <c r="I20" s="38" t="s">
        <v>46</v>
      </c>
      <c r="K20" s="7">
        <v>12000</v>
      </c>
      <c r="L20" s="38">
        <f t="shared" si="6"/>
        <v>720000</v>
      </c>
      <c r="M20" s="55">
        <v>0.1</v>
      </c>
      <c r="N20" s="38">
        <f t="shared" si="2"/>
        <v>13333.333333333332</v>
      </c>
      <c r="O20" s="38">
        <f t="shared" si="3"/>
        <v>799999.99999999988</v>
      </c>
      <c r="P20" s="58">
        <f t="shared" si="4"/>
        <v>14666.666666666666</v>
      </c>
    </row>
    <row r="21" spans="1:16" s="1" customFormat="1" ht="29" x14ac:dyDescent="0.35">
      <c r="A21" s="50">
        <v>8</v>
      </c>
      <c r="B21" s="50" t="s">
        <v>7</v>
      </c>
      <c r="C21" s="42" t="s">
        <v>29</v>
      </c>
      <c r="D21" s="10" t="s">
        <v>2</v>
      </c>
      <c r="E21" s="10" t="s">
        <v>10</v>
      </c>
      <c r="F21" s="37">
        <v>1</v>
      </c>
      <c r="G21" s="38">
        <v>1000000</v>
      </c>
      <c r="H21" s="38">
        <f t="shared" si="5"/>
        <v>1000000</v>
      </c>
      <c r="I21" s="38"/>
      <c r="K21" s="7">
        <v>1000000</v>
      </c>
      <c r="L21" s="38">
        <f t="shared" si="6"/>
        <v>1000000</v>
      </c>
      <c r="M21" s="55">
        <v>0.1</v>
      </c>
      <c r="N21" s="38">
        <f>K21/(1-M21)</f>
        <v>1111111.111111111</v>
      </c>
      <c r="O21" s="38">
        <f t="shared" si="3"/>
        <v>1111111.111111111</v>
      </c>
      <c r="P21" s="58">
        <f t="shared" si="4"/>
        <v>1222222.2222222222</v>
      </c>
    </row>
    <row r="22" spans="1:16" s="1" customFormat="1" x14ac:dyDescent="0.35">
      <c r="A22" s="50"/>
      <c r="B22" s="51"/>
      <c r="C22" s="40" t="s">
        <v>50</v>
      </c>
      <c r="D22" s="10" t="s">
        <v>2</v>
      </c>
      <c r="E22" s="10" t="s">
        <v>10</v>
      </c>
      <c r="F22" s="37">
        <v>1</v>
      </c>
      <c r="G22" s="38">
        <v>9600000</v>
      </c>
      <c r="H22" s="38">
        <f t="shared" si="5"/>
        <v>9600000</v>
      </c>
      <c r="I22" s="38"/>
      <c r="K22" s="7">
        <f>900000*11.16+2000000</f>
        <v>12044000</v>
      </c>
      <c r="L22" s="38">
        <f t="shared" si="6"/>
        <v>12044000</v>
      </c>
      <c r="M22" s="55">
        <v>0.1</v>
      </c>
      <c r="N22" s="38">
        <f t="shared" si="2"/>
        <v>13382222.222222222</v>
      </c>
      <c r="O22" s="38">
        <f t="shared" si="3"/>
        <v>13382222.222222222</v>
      </c>
      <c r="P22" s="58">
        <f t="shared" si="4"/>
        <v>14720444.444444446</v>
      </c>
    </row>
    <row r="23" spans="1:16" s="1" customFormat="1" ht="31.25" customHeight="1" x14ac:dyDescent="0.35">
      <c r="A23" s="51" t="s">
        <v>51</v>
      </c>
      <c r="B23" s="51"/>
      <c r="C23" s="51"/>
      <c r="D23" s="51"/>
      <c r="E23" s="51"/>
      <c r="F23" s="43"/>
      <c r="G23" s="43"/>
      <c r="H23" s="44">
        <f>SUM(H2:H22)</f>
        <v>90496000</v>
      </c>
      <c r="I23" s="39"/>
      <c r="K23" s="9" t="s">
        <v>71</v>
      </c>
      <c r="L23" s="57">
        <f>SUM(L2:L22)</f>
        <v>69144265.454545453</v>
      </c>
      <c r="M23" s="57"/>
      <c r="N23" s="57"/>
      <c r="O23" s="57">
        <f>SUM(O2:O22)</f>
        <v>79532433.511586457</v>
      </c>
      <c r="P23" s="57"/>
    </row>
    <row r="24" spans="1:16" x14ac:dyDescent="0.5">
      <c r="K24" s="9" t="s">
        <v>72</v>
      </c>
      <c r="L24" s="57">
        <f>L23*1.1</f>
        <v>76058692</v>
      </c>
      <c r="M24" s="57"/>
      <c r="N24" s="57"/>
      <c r="O24" s="57">
        <f>O23*1.1</f>
        <v>87485676.862745106</v>
      </c>
      <c r="P24" s="57"/>
    </row>
  </sheetData>
  <mergeCells count="9">
    <mergeCell ref="A23:E23"/>
    <mergeCell ref="A12:A16"/>
    <mergeCell ref="B12:B16"/>
    <mergeCell ref="A18:A20"/>
    <mergeCell ref="B18:B20"/>
    <mergeCell ref="B5:B11"/>
    <mergeCell ref="A5:A11"/>
    <mergeCell ref="A21:A22"/>
    <mergeCell ref="B21:B22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4704-146F-4172-80C4-12BDCD6AF5A0}">
  <dimension ref="A1:Q24"/>
  <sheetViews>
    <sheetView topLeftCell="A13" zoomScale="70" zoomScaleNormal="70" workbookViewId="0">
      <selection activeCell="F18" sqref="F18:F20"/>
    </sheetView>
  </sheetViews>
  <sheetFormatPr defaultColWidth="15.7265625" defaultRowHeight="21" x14ac:dyDescent="0.5"/>
  <cols>
    <col min="1" max="1" width="4.6328125" style="2" bestFit="1" customWidth="1"/>
    <col min="2" max="2" width="16.36328125" style="3" customWidth="1"/>
    <col min="3" max="3" width="49.81640625" style="2" customWidth="1"/>
    <col min="4" max="4" width="15.6328125" style="4" customWidth="1"/>
    <col min="5" max="5" width="11.1796875" style="4" customWidth="1"/>
    <col min="6" max="8" width="16.453125" style="4" customWidth="1"/>
    <col min="9" max="9" width="12.81640625" style="5" customWidth="1"/>
    <col min="10" max="10" width="15.7265625" style="2"/>
    <col min="11" max="11" width="19.6328125" style="5" customWidth="1"/>
    <col min="12" max="12" width="15.54296875" style="5" bestFit="1" customWidth="1"/>
    <col min="13" max="13" width="15.26953125" style="5" customWidth="1"/>
    <col min="14" max="14" width="18.54296875" style="5" customWidth="1"/>
    <col min="15" max="15" width="15.26953125" style="5" bestFit="1" customWidth="1"/>
    <col min="16" max="16" width="23.179687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68</v>
      </c>
      <c r="O1" s="53" t="s">
        <v>57</v>
      </c>
      <c r="P1" s="65" t="s">
        <v>73</v>
      </c>
      <c r="Q1" s="8"/>
    </row>
    <row r="2" spans="1:17" s="1" customFormat="1" ht="94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24</v>
      </c>
      <c r="G2" s="38">
        <v>2100000</v>
      </c>
      <c r="H2" s="38">
        <f>F2*G2</f>
        <v>50400000</v>
      </c>
      <c r="I2" s="38" t="s">
        <v>19</v>
      </c>
      <c r="J2" s="1">
        <f>24*620</f>
        <v>14880</v>
      </c>
      <c r="K2" s="54">
        <f>54*25500*(1+2%)</f>
        <v>1404540</v>
      </c>
      <c r="L2" s="38">
        <f t="shared" ref="L2" si="0">F2*K2</f>
        <v>33708960</v>
      </c>
      <c r="M2" s="55">
        <v>0.15</v>
      </c>
      <c r="N2" s="38">
        <f>K2/(1-M2)</f>
        <v>1652400</v>
      </c>
      <c r="O2" s="38">
        <f>N2*F2</f>
        <v>39657600</v>
      </c>
      <c r="P2" s="58">
        <f>N2*1.1</f>
        <v>1817640.0000000002</v>
      </c>
    </row>
    <row r="3" spans="1:17" s="1" customFormat="1" ht="84" customHeight="1" x14ac:dyDescent="0.35">
      <c r="A3" s="10">
        <v>2</v>
      </c>
      <c r="B3" s="10" t="s">
        <v>23</v>
      </c>
      <c r="C3" s="36" t="s">
        <v>109</v>
      </c>
      <c r="D3" s="10" t="s">
        <v>92</v>
      </c>
      <c r="E3" s="37" t="s">
        <v>10</v>
      </c>
      <c r="F3" s="37">
        <v>1</v>
      </c>
      <c r="G3" s="38">
        <v>22300000</v>
      </c>
      <c r="H3" s="38">
        <f t="shared" ref="H3" si="1">F3*G3</f>
        <v>22300000</v>
      </c>
      <c r="I3" s="38" t="s">
        <v>20</v>
      </c>
      <c r="K3" s="13">
        <v>17242000</v>
      </c>
      <c r="L3" s="38">
        <f>F3*K3</f>
        <v>17242000</v>
      </c>
      <c r="M3" s="55">
        <v>0.15</v>
      </c>
      <c r="N3" s="38">
        <f t="shared" ref="N3:N22" si="2">K3/(1-M3)</f>
        <v>20284705.882352941</v>
      </c>
      <c r="O3" s="38">
        <f t="shared" ref="O3:O22" si="3">N3*F3</f>
        <v>20284705.882352941</v>
      </c>
      <c r="P3" s="58">
        <f t="shared" ref="P3:P22" si="4">N3*1.1</f>
        <v>22313176.470588237</v>
      </c>
    </row>
    <row r="4" spans="1:17" s="1" customFormat="1" ht="45.65" customHeight="1" x14ac:dyDescent="0.35">
      <c r="A4" s="10">
        <v>3</v>
      </c>
      <c r="B4" s="10" t="s">
        <v>93</v>
      </c>
      <c r="C4" s="36" t="s">
        <v>107</v>
      </c>
      <c r="D4" s="10" t="s">
        <v>92</v>
      </c>
      <c r="E4" s="37" t="s">
        <v>10</v>
      </c>
      <c r="F4" s="37">
        <v>1</v>
      </c>
      <c r="G4" s="38">
        <v>5600000</v>
      </c>
      <c r="H4" s="38">
        <f t="shared" ref="H3:H22" si="5">F4*G4</f>
        <v>5600000</v>
      </c>
      <c r="I4" s="38" t="s">
        <v>46</v>
      </c>
      <c r="K4" s="7">
        <f>3449000+870000</f>
        <v>4319000</v>
      </c>
      <c r="L4" s="38">
        <f>F4*K4</f>
        <v>4319000</v>
      </c>
      <c r="M4" s="55">
        <v>0.15</v>
      </c>
      <c r="N4" s="38">
        <f t="shared" si="2"/>
        <v>5081176.4705882352</v>
      </c>
      <c r="O4" s="38">
        <f t="shared" si="3"/>
        <v>5081176.4705882352</v>
      </c>
      <c r="P4" s="58">
        <f t="shared" si="4"/>
        <v>5589294.1176470593</v>
      </c>
    </row>
    <row r="5" spans="1:17" s="1" customFormat="1" x14ac:dyDescent="0.35">
      <c r="A5" s="50">
        <v>4</v>
      </c>
      <c r="B5" s="50" t="s">
        <v>3</v>
      </c>
      <c r="C5" s="40" t="s">
        <v>0</v>
      </c>
      <c r="D5" s="10" t="s">
        <v>5</v>
      </c>
      <c r="E5" s="10" t="s">
        <v>8</v>
      </c>
      <c r="F5" s="37">
        <v>24</v>
      </c>
      <c r="G5" s="38">
        <v>11000</v>
      </c>
      <c r="H5" s="38">
        <f t="shared" si="5"/>
        <v>264000</v>
      </c>
      <c r="I5" s="38" t="s">
        <v>20</v>
      </c>
      <c r="J5" s="41" t="s">
        <v>110</v>
      </c>
      <c r="K5" s="54">
        <v>8800</v>
      </c>
      <c r="L5" s="38">
        <f t="shared" ref="L5:L25" si="6">F5*K5</f>
        <v>211200</v>
      </c>
      <c r="M5" s="55">
        <v>0.1</v>
      </c>
      <c r="N5" s="38">
        <f t="shared" si="2"/>
        <v>9777.7777777777774</v>
      </c>
      <c r="O5" s="38">
        <f t="shared" si="3"/>
        <v>234666.66666666666</v>
      </c>
      <c r="P5" s="58">
        <f t="shared" si="4"/>
        <v>10755.555555555557</v>
      </c>
    </row>
    <row r="6" spans="1:17" s="1" customFormat="1" x14ac:dyDescent="0.35">
      <c r="A6" s="50"/>
      <c r="B6" s="50"/>
      <c r="C6" s="40" t="s">
        <v>13</v>
      </c>
      <c r="D6" s="10" t="s">
        <v>5</v>
      </c>
      <c r="E6" s="10" t="s">
        <v>8</v>
      </c>
      <c r="F6" s="37">
        <v>40</v>
      </c>
      <c r="G6" s="38">
        <v>11000</v>
      </c>
      <c r="H6" s="38">
        <f t="shared" si="5"/>
        <v>440000</v>
      </c>
      <c r="I6" s="38" t="s">
        <v>20</v>
      </c>
      <c r="K6" s="54">
        <v>8800</v>
      </c>
      <c r="L6" s="38">
        <f t="shared" si="6"/>
        <v>352000</v>
      </c>
      <c r="M6" s="55">
        <v>0.1</v>
      </c>
      <c r="N6" s="38">
        <f t="shared" si="2"/>
        <v>9777.7777777777774</v>
      </c>
      <c r="O6" s="38">
        <f t="shared" si="3"/>
        <v>391111.11111111112</v>
      </c>
      <c r="P6" s="58">
        <f t="shared" si="4"/>
        <v>10755.555555555557</v>
      </c>
    </row>
    <row r="7" spans="1:17" s="1" customFormat="1" x14ac:dyDescent="0.35">
      <c r="A7" s="50"/>
      <c r="B7" s="50"/>
      <c r="C7" s="40" t="s">
        <v>40</v>
      </c>
      <c r="D7" s="10" t="s">
        <v>5</v>
      </c>
      <c r="E7" s="10" t="s">
        <v>8</v>
      </c>
      <c r="F7" s="37">
        <v>14</v>
      </c>
      <c r="G7" s="38">
        <v>360000</v>
      </c>
      <c r="H7" s="38">
        <f t="shared" si="5"/>
        <v>5040000</v>
      </c>
      <c r="I7" s="38" t="s">
        <v>20</v>
      </c>
      <c r="J7" s="66">
        <f>24*2*1.2/4.2</f>
        <v>13.714285714285712</v>
      </c>
      <c r="K7" s="54">
        <v>294000</v>
      </c>
      <c r="L7" s="38">
        <f t="shared" si="6"/>
        <v>4116000</v>
      </c>
      <c r="M7" s="55">
        <v>0.1</v>
      </c>
      <c r="N7" s="38">
        <f t="shared" si="2"/>
        <v>326666.66666666669</v>
      </c>
      <c r="O7" s="38">
        <f t="shared" si="3"/>
        <v>4573333.333333334</v>
      </c>
      <c r="P7" s="58">
        <f t="shared" si="4"/>
        <v>359333.33333333337</v>
      </c>
    </row>
    <row r="8" spans="1:17" s="1" customFormat="1" x14ac:dyDescent="0.35">
      <c r="A8" s="50"/>
      <c r="B8" s="50"/>
      <c r="C8" s="40" t="s">
        <v>25</v>
      </c>
      <c r="D8" s="10" t="s">
        <v>5</v>
      </c>
      <c r="E8" s="10" t="s">
        <v>8</v>
      </c>
      <c r="F8" s="37">
        <v>14</v>
      </c>
      <c r="G8" s="38">
        <v>20000</v>
      </c>
      <c r="H8" s="38">
        <f t="shared" si="5"/>
        <v>280000</v>
      </c>
      <c r="I8" s="38" t="s">
        <v>20</v>
      </c>
      <c r="K8" s="54">
        <v>12800</v>
      </c>
      <c r="L8" s="38">
        <f t="shared" si="6"/>
        <v>179200</v>
      </c>
      <c r="M8" s="55">
        <v>0.1</v>
      </c>
      <c r="N8" s="38">
        <f t="shared" si="2"/>
        <v>14222.222222222223</v>
      </c>
      <c r="O8" s="38">
        <f t="shared" si="3"/>
        <v>199111.11111111112</v>
      </c>
      <c r="P8" s="58">
        <f t="shared" si="4"/>
        <v>15644.444444444445</v>
      </c>
    </row>
    <row r="9" spans="1:17" s="1" customFormat="1" x14ac:dyDescent="0.35">
      <c r="A9" s="50"/>
      <c r="B9" s="50"/>
      <c r="C9" s="40" t="s">
        <v>26</v>
      </c>
      <c r="D9" s="10" t="s">
        <v>5</v>
      </c>
      <c r="E9" s="10" t="s">
        <v>8</v>
      </c>
      <c r="F9" s="37">
        <v>86</v>
      </c>
      <c r="G9" s="38">
        <v>20000</v>
      </c>
      <c r="H9" s="38">
        <f t="shared" si="5"/>
        <v>1720000</v>
      </c>
      <c r="I9" s="38" t="s">
        <v>20</v>
      </c>
      <c r="K9" s="54">
        <v>16000</v>
      </c>
      <c r="L9" s="38">
        <f t="shared" si="6"/>
        <v>1376000</v>
      </c>
      <c r="M9" s="55">
        <v>0.1</v>
      </c>
      <c r="N9" s="38">
        <f t="shared" si="2"/>
        <v>17777.777777777777</v>
      </c>
      <c r="O9" s="38">
        <f t="shared" si="3"/>
        <v>1528888.8888888888</v>
      </c>
      <c r="P9" s="58">
        <f t="shared" si="4"/>
        <v>19555.555555555558</v>
      </c>
    </row>
    <row r="10" spans="1:17" s="1" customFormat="1" x14ac:dyDescent="0.35">
      <c r="A10" s="50"/>
      <c r="B10" s="50"/>
      <c r="C10" s="40" t="s">
        <v>30</v>
      </c>
      <c r="D10" s="10" t="s">
        <v>5</v>
      </c>
      <c r="E10" s="10" t="s">
        <v>8</v>
      </c>
      <c r="F10" s="37">
        <v>8</v>
      </c>
      <c r="G10" s="38">
        <v>20000</v>
      </c>
      <c r="H10" s="38">
        <f t="shared" si="5"/>
        <v>160000</v>
      </c>
      <c r="I10" s="38" t="s">
        <v>20</v>
      </c>
      <c r="K10" s="54">
        <v>12600</v>
      </c>
      <c r="L10" s="38">
        <f t="shared" si="6"/>
        <v>100800</v>
      </c>
      <c r="M10" s="55">
        <v>0.1</v>
      </c>
      <c r="N10" s="38">
        <f t="shared" si="2"/>
        <v>14000</v>
      </c>
      <c r="O10" s="38">
        <f t="shared" si="3"/>
        <v>112000</v>
      </c>
      <c r="P10" s="58">
        <f t="shared" si="4"/>
        <v>15400.000000000002</v>
      </c>
    </row>
    <row r="11" spans="1:17" s="1" customFormat="1" x14ac:dyDescent="0.35">
      <c r="A11" s="50"/>
      <c r="B11" s="50"/>
      <c r="C11" s="40" t="s">
        <v>31</v>
      </c>
      <c r="D11" s="10" t="s">
        <v>5</v>
      </c>
      <c r="E11" s="10" t="s">
        <v>8</v>
      </c>
      <c r="F11" s="37">
        <f>F6</f>
        <v>40</v>
      </c>
      <c r="G11" s="38">
        <v>2000</v>
      </c>
      <c r="H11" s="38">
        <f t="shared" si="5"/>
        <v>80000</v>
      </c>
      <c r="I11" s="38" t="s">
        <v>20</v>
      </c>
      <c r="K11" s="54">
        <v>1500</v>
      </c>
      <c r="L11" s="38">
        <f t="shared" si="6"/>
        <v>60000</v>
      </c>
      <c r="M11" s="55">
        <v>0.1</v>
      </c>
      <c r="N11" s="38">
        <f t="shared" si="2"/>
        <v>1666.6666666666665</v>
      </c>
      <c r="O11" s="38">
        <f t="shared" si="3"/>
        <v>66666.666666666657</v>
      </c>
      <c r="P11" s="58">
        <f t="shared" si="4"/>
        <v>1833.3333333333333</v>
      </c>
    </row>
    <row r="12" spans="1:17" s="1" customFormat="1" ht="29" x14ac:dyDescent="0.35">
      <c r="A12" s="50">
        <v>5</v>
      </c>
      <c r="B12" s="50" t="s">
        <v>4</v>
      </c>
      <c r="C12" s="39" t="s">
        <v>27</v>
      </c>
      <c r="D12" s="10" t="s">
        <v>1</v>
      </c>
      <c r="E12" s="10" t="s">
        <v>17</v>
      </c>
      <c r="F12" s="37">
        <v>100</v>
      </c>
      <c r="G12" s="38">
        <v>18000</v>
      </c>
      <c r="H12" s="38">
        <f t="shared" si="5"/>
        <v>1800000</v>
      </c>
      <c r="I12" s="38" t="s">
        <v>20</v>
      </c>
      <c r="K12" s="54">
        <v>12000</v>
      </c>
      <c r="L12" s="38">
        <f t="shared" si="6"/>
        <v>1200000</v>
      </c>
      <c r="M12" s="55">
        <v>0.1</v>
      </c>
      <c r="N12" s="38">
        <f t="shared" si="2"/>
        <v>13333.333333333332</v>
      </c>
      <c r="O12" s="38">
        <f t="shared" si="3"/>
        <v>1333333.3333333333</v>
      </c>
      <c r="P12" s="58">
        <f t="shared" si="4"/>
        <v>14666.666666666666</v>
      </c>
    </row>
    <row r="13" spans="1:17" s="1" customFormat="1" ht="29" x14ac:dyDescent="0.35">
      <c r="A13" s="50"/>
      <c r="B13" s="50"/>
      <c r="C13" s="39" t="s">
        <v>28</v>
      </c>
      <c r="D13" s="10" t="s">
        <v>1</v>
      </c>
      <c r="E13" s="10" t="s">
        <v>17</v>
      </c>
      <c r="F13" s="37">
        <v>100</v>
      </c>
      <c r="G13" s="38">
        <v>18000</v>
      </c>
      <c r="H13" s="38">
        <f t="shared" si="5"/>
        <v>1800000</v>
      </c>
      <c r="I13" s="38" t="s">
        <v>20</v>
      </c>
      <c r="K13" s="54">
        <v>12000</v>
      </c>
      <c r="L13" s="38">
        <f t="shared" si="6"/>
        <v>1200000</v>
      </c>
      <c r="M13" s="55">
        <v>0.1</v>
      </c>
      <c r="N13" s="38">
        <f t="shared" si="2"/>
        <v>13333.333333333332</v>
      </c>
      <c r="O13" s="38">
        <f t="shared" si="3"/>
        <v>1333333.3333333333</v>
      </c>
      <c r="P13" s="58">
        <f t="shared" si="4"/>
        <v>14666.666666666666</v>
      </c>
    </row>
    <row r="14" spans="1:17" s="1" customFormat="1" ht="43.5" x14ac:dyDescent="0.35">
      <c r="A14" s="50"/>
      <c r="B14" s="50"/>
      <c r="C14" s="40" t="s">
        <v>108</v>
      </c>
      <c r="D14" s="10" t="s">
        <v>80</v>
      </c>
      <c r="E14" s="10" t="s">
        <v>17</v>
      </c>
      <c r="F14" s="37">
        <v>20</v>
      </c>
      <c r="G14" s="38">
        <v>150000</v>
      </c>
      <c r="H14" s="38">
        <f t="shared" si="5"/>
        <v>3000000</v>
      </c>
      <c r="I14" s="38" t="s">
        <v>20</v>
      </c>
      <c r="K14" s="7">
        <f>135000/1.1+100000/20</f>
        <v>127727.27272727272</v>
      </c>
      <c r="L14" s="38">
        <f t="shared" si="6"/>
        <v>2554545.4545454546</v>
      </c>
      <c r="M14" s="55">
        <v>0.1</v>
      </c>
      <c r="N14" s="38">
        <f t="shared" si="2"/>
        <v>141919.19191919192</v>
      </c>
      <c r="O14" s="38">
        <f t="shared" si="3"/>
        <v>2838383.8383838385</v>
      </c>
      <c r="P14" s="58">
        <f t="shared" si="4"/>
        <v>156111.11111111112</v>
      </c>
    </row>
    <row r="15" spans="1:17" s="1" customFormat="1" ht="25.5" customHeight="1" x14ac:dyDescent="0.35">
      <c r="A15" s="50"/>
      <c r="B15" s="50"/>
      <c r="C15" s="39" t="s">
        <v>9</v>
      </c>
      <c r="D15" s="10" t="s">
        <v>5</v>
      </c>
      <c r="E15" s="10" t="s">
        <v>17</v>
      </c>
      <c r="F15" s="37">
        <v>20</v>
      </c>
      <c r="G15" s="38">
        <v>15000</v>
      </c>
      <c r="H15" s="38">
        <f t="shared" si="5"/>
        <v>300000</v>
      </c>
      <c r="I15" s="38" t="s">
        <v>20</v>
      </c>
      <c r="K15" s="54">
        <v>12000</v>
      </c>
      <c r="L15" s="38">
        <f t="shared" si="6"/>
        <v>240000</v>
      </c>
      <c r="M15" s="55">
        <v>0.1</v>
      </c>
      <c r="N15" s="38">
        <f t="shared" si="2"/>
        <v>13333.333333333332</v>
      </c>
      <c r="O15" s="38">
        <f t="shared" si="3"/>
        <v>266666.66666666663</v>
      </c>
      <c r="P15" s="58">
        <f t="shared" si="4"/>
        <v>14666.666666666666</v>
      </c>
    </row>
    <row r="16" spans="1:17" s="1" customFormat="1" x14ac:dyDescent="0.35">
      <c r="A16" s="50"/>
      <c r="B16" s="50"/>
      <c r="C16" s="39" t="s">
        <v>16</v>
      </c>
      <c r="D16" s="10" t="s">
        <v>1</v>
      </c>
      <c r="E16" s="10" t="s">
        <v>10</v>
      </c>
      <c r="F16" s="37">
        <v>8</v>
      </c>
      <c r="G16" s="38">
        <v>30000</v>
      </c>
      <c r="H16" s="38">
        <f t="shared" si="5"/>
        <v>240000</v>
      </c>
      <c r="I16" s="38" t="s">
        <v>20</v>
      </c>
      <c r="K16" s="54">
        <v>20000</v>
      </c>
      <c r="L16" s="38">
        <f t="shared" si="6"/>
        <v>160000</v>
      </c>
      <c r="M16" s="55">
        <v>0.1</v>
      </c>
      <c r="N16" s="38">
        <f t="shared" si="2"/>
        <v>22222.222222222223</v>
      </c>
      <c r="O16" s="38">
        <f t="shared" si="3"/>
        <v>177777.77777777778</v>
      </c>
      <c r="P16" s="58">
        <f t="shared" si="4"/>
        <v>24444.444444444445</v>
      </c>
    </row>
    <row r="17" spans="1:16" s="1" customFormat="1" ht="102" customHeight="1" x14ac:dyDescent="0.35">
      <c r="A17" s="10">
        <v>6</v>
      </c>
      <c r="B17" s="10" t="s">
        <v>18</v>
      </c>
      <c r="C17" s="39" t="s">
        <v>111</v>
      </c>
      <c r="D17" s="10" t="s">
        <v>2</v>
      </c>
      <c r="E17" s="10" t="s">
        <v>10</v>
      </c>
      <c r="F17" s="37">
        <v>1</v>
      </c>
      <c r="G17" s="38">
        <v>5500000</v>
      </c>
      <c r="H17" s="38">
        <f t="shared" si="5"/>
        <v>5500000</v>
      </c>
      <c r="I17" s="38" t="s">
        <v>46</v>
      </c>
      <c r="K17" s="7">
        <f>3640000/1.1+100000</f>
        <v>3409090.9090909087</v>
      </c>
      <c r="L17" s="38">
        <f t="shared" si="6"/>
        <v>3409090.9090909087</v>
      </c>
      <c r="M17" s="55">
        <v>0.1</v>
      </c>
      <c r="N17" s="38">
        <f t="shared" si="2"/>
        <v>3787878.7878787871</v>
      </c>
      <c r="O17" s="38">
        <f t="shared" si="3"/>
        <v>3787878.7878787871</v>
      </c>
      <c r="P17" s="58">
        <f t="shared" si="4"/>
        <v>4166666.666666666</v>
      </c>
    </row>
    <row r="18" spans="1:16" s="1" customFormat="1" x14ac:dyDescent="0.35">
      <c r="A18" s="50">
        <v>7</v>
      </c>
      <c r="B18" s="52" t="s">
        <v>6</v>
      </c>
      <c r="C18" s="39" t="s">
        <v>21</v>
      </c>
      <c r="D18" s="10" t="s">
        <v>22</v>
      </c>
      <c r="E18" s="10" t="s">
        <v>17</v>
      </c>
      <c r="F18" s="37">
        <v>60</v>
      </c>
      <c r="G18" s="38">
        <v>15000</v>
      </c>
      <c r="H18" s="38">
        <f t="shared" si="5"/>
        <v>900000</v>
      </c>
      <c r="I18" s="38" t="s">
        <v>46</v>
      </c>
      <c r="K18" s="7">
        <v>12000</v>
      </c>
      <c r="L18" s="38">
        <f t="shared" si="6"/>
        <v>720000</v>
      </c>
      <c r="M18" s="55">
        <v>0.1</v>
      </c>
      <c r="N18" s="38">
        <f t="shared" si="2"/>
        <v>13333.333333333332</v>
      </c>
      <c r="O18" s="38">
        <f t="shared" si="3"/>
        <v>799999.99999999988</v>
      </c>
      <c r="P18" s="58">
        <f t="shared" si="4"/>
        <v>14666.666666666666</v>
      </c>
    </row>
    <row r="19" spans="1:16" s="1" customFormat="1" x14ac:dyDescent="0.35">
      <c r="A19" s="50"/>
      <c r="B19" s="52"/>
      <c r="C19" s="39" t="s">
        <v>14</v>
      </c>
      <c r="D19" s="10" t="s">
        <v>5</v>
      </c>
      <c r="E19" s="10" t="s">
        <v>8</v>
      </c>
      <c r="F19" s="37">
        <v>2</v>
      </c>
      <c r="G19" s="38">
        <v>250000</v>
      </c>
      <c r="H19" s="38">
        <f t="shared" si="5"/>
        <v>500000</v>
      </c>
      <c r="I19" s="38" t="s">
        <v>46</v>
      </c>
      <c r="K19" s="7">
        <v>200000</v>
      </c>
      <c r="L19" s="38">
        <f t="shared" si="6"/>
        <v>400000</v>
      </c>
      <c r="M19" s="55">
        <v>0.1</v>
      </c>
      <c r="N19" s="38">
        <f t="shared" si="2"/>
        <v>222222.22222222222</v>
      </c>
      <c r="O19" s="38">
        <f t="shared" si="3"/>
        <v>444444.44444444444</v>
      </c>
      <c r="P19" s="58">
        <f t="shared" si="4"/>
        <v>244444.44444444447</v>
      </c>
    </row>
    <row r="20" spans="1:16" s="1" customFormat="1" x14ac:dyDescent="0.35">
      <c r="A20" s="50"/>
      <c r="B20" s="52"/>
      <c r="C20" s="42" t="s">
        <v>24</v>
      </c>
      <c r="D20" s="10" t="s">
        <v>5</v>
      </c>
      <c r="E20" s="10" t="s">
        <v>17</v>
      </c>
      <c r="F20" s="37">
        <v>60</v>
      </c>
      <c r="G20" s="38">
        <v>15000</v>
      </c>
      <c r="H20" s="38">
        <f t="shared" si="5"/>
        <v>900000</v>
      </c>
      <c r="I20" s="38" t="s">
        <v>46</v>
      </c>
      <c r="K20" s="7">
        <v>12000</v>
      </c>
      <c r="L20" s="38">
        <f t="shared" si="6"/>
        <v>720000</v>
      </c>
      <c r="M20" s="55">
        <v>0.1</v>
      </c>
      <c r="N20" s="38">
        <f t="shared" si="2"/>
        <v>13333.333333333332</v>
      </c>
      <c r="O20" s="38">
        <f t="shared" si="3"/>
        <v>799999.99999999988</v>
      </c>
      <c r="P20" s="58">
        <f t="shared" si="4"/>
        <v>14666.666666666666</v>
      </c>
    </row>
    <row r="21" spans="1:16" s="1" customFormat="1" ht="29" x14ac:dyDescent="0.35">
      <c r="A21" s="50">
        <v>8</v>
      </c>
      <c r="B21" s="50" t="s">
        <v>7</v>
      </c>
      <c r="C21" s="42" t="s">
        <v>29</v>
      </c>
      <c r="D21" s="10" t="s">
        <v>2</v>
      </c>
      <c r="E21" s="10" t="s">
        <v>10</v>
      </c>
      <c r="F21" s="37">
        <v>1</v>
      </c>
      <c r="G21" s="38">
        <v>1500000</v>
      </c>
      <c r="H21" s="38">
        <f t="shared" si="5"/>
        <v>1500000</v>
      </c>
      <c r="I21" s="38"/>
      <c r="K21" s="7">
        <v>1000000</v>
      </c>
      <c r="L21" s="38">
        <f t="shared" si="6"/>
        <v>1000000</v>
      </c>
      <c r="M21" s="55">
        <v>0.1</v>
      </c>
      <c r="N21" s="38">
        <f>K21/(1-M21)</f>
        <v>1111111.111111111</v>
      </c>
      <c r="O21" s="38">
        <f t="shared" si="3"/>
        <v>1111111.111111111</v>
      </c>
      <c r="P21" s="58">
        <f t="shared" si="4"/>
        <v>1222222.2222222222</v>
      </c>
    </row>
    <row r="22" spans="1:16" s="1" customFormat="1" x14ac:dyDescent="0.35">
      <c r="A22" s="50"/>
      <c r="B22" s="51"/>
      <c r="C22" s="40" t="s">
        <v>50</v>
      </c>
      <c r="D22" s="10" t="s">
        <v>2</v>
      </c>
      <c r="E22" s="10" t="s">
        <v>10</v>
      </c>
      <c r="F22" s="37">
        <v>1</v>
      </c>
      <c r="G22" s="38">
        <v>12900000</v>
      </c>
      <c r="H22" s="38">
        <f t="shared" si="5"/>
        <v>12900000</v>
      </c>
      <c r="I22" s="38"/>
      <c r="K22" s="7">
        <f>900000*14.88+2000000</f>
        <v>15392000</v>
      </c>
      <c r="L22" s="38">
        <f t="shared" si="6"/>
        <v>15392000</v>
      </c>
      <c r="M22" s="55">
        <v>0.1</v>
      </c>
      <c r="N22" s="38">
        <f t="shared" si="2"/>
        <v>17102222.22222222</v>
      </c>
      <c r="O22" s="38">
        <f t="shared" si="3"/>
        <v>17102222.22222222</v>
      </c>
      <c r="P22" s="58">
        <f t="shared" si="4"/>
        <v>18812444.444444444</v>
      </c>
    </row>
    <row r="23" spans="1:16" s="1" customFormat="1" ht="31.25" customHeight="1" x14ac:dyDescent="0.35">
      <c r="A23" s="51" t="s">
        <v>51</v>
      </c>
      <c r="B23" s="51"/>
      <c r="C23" s="51"/>
      <c r="D23" s="51"/>
      <c r="E23" s="51"/>
      <c r="F23" s="43"/>
      <c r="G23" s="43"/>
      <c r="H23" s="44">
        <f>SUM(H2:H22)</f>
        <v>115624000</v>
      </c>
      <c r="I23" s="39"/>
      <c r="K23" s="9" t="s">
        <v>71</v>
      </c>
      <c r="L23" s="57">
        <f>SUM(L2:L22)</f>
        <v>88660796.36363636</v>
      </c>
      <c r="M23" s="57"/>
      <c r="N23" s="57"/>
      <c r="O23" s="57">
        <f>SUM(O2:O22)</f>
        <v>102124411.64587046</v>
      </c>
      <c r="P23" s="57"/>
    </row>
    <row r="24" spans="1:16" x14ac:dyDescent="0.5">
      <c r="K24" s="9" t="s">
        <v>72</v>
      </c>
      <c r="L24" s="57">
        <f>L23*1.1</f>
        <v>97526876</v>
      </c>
      <c r="M24" s="57"/>
      <c r="N24" s="57"/>
      <c r="O24" s="57">
        <f>O23*1.1</f>
        <v>112336852.81045751</v>
      </c>
      <c r="P24" s="57"/>
    </row>
  </sheetData>
  <mergeCells count="9">
    <mergeCell ref="A23:E23"/>
    <mergeCell ref="A12:A16"/>
    <mergeCell ref="B12:B16"/>
    <mergeCell ref="A18:A20"/>
    <mergeCell ref="B18:B20"/>
    <mergeCell ref="B5:B11"/>
    <mergeCell ref="A5:A11"/>
    <mergeCell ref="A21:A22"/>
    <mergeCell ref="B21:B22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42BB-15BD-491E-961B-72FEF65FD67F}">
  <dimension ref="A1:Q24"/>
  <sheetViews>
    <sheetView topLeftCell="A13" zoomScale="70" zoomScaleNormal="70" workbookViewId="0">
      <selection activeCell="F18" sqref="F18:F20"/>
    </sheetView>
  </sheetViews>
  <sheetFormatPr defaultColWidth="15.7265625" defaultRowHeight="21" x14ac:dyDescent="0.5"/>
  <cols>
    <col min="1" max="1" width="4.6328125" style="2" bestFit="1" customWidth="1"/>
    <col min="2" max="2" width="16.36328125" style="3" customWidth="1"/>
    <col min="3" max="3" width="49.81640625" style="2" customWidth="1"/>
    <col min="4" max="4" width="15.6328125" style="4" customWidth="1"/>
    <col min="5" max="5" width="11.1796875" style="4" customWidth="1"/>
    <col min="6" max="7" width="16.453125" style="4" customWidth="1"/>
    <col min="8" max="8" width="18.36328125" style="4" customWidth="1"/>
    <col min="9" max="9" width="12.81640625" style="5" customWidth="1"/>
    <col min="10" max="10" width="15.7265625" style="2"/>
    <col min="11" max="11" width="19.6328125" style="5" customWidth="1"/>
    <col min="12" max="12" width="15.54296875" style="5" bestFit="1" customWidth="1"/>
    <col min="13" max="13" width="15.26953125" style="5" customWidth="1"/>
    <col min="14" max="14" width="18.54296875" style="5" customWidth="1"/>
    <col min="15" max="15" width="15.26953125" style="5" bestFit="1" customWidth="1"/>
    <col min="16" max="16" width="23.179687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68</v>
      </c>
      <c r="O1" s="53" t="s">
        <v>57</v>
      </c>
      <c r="P1" s="65" t="s">
        <v>73</v>
      </c>
      <c r="Q1" s="8"/>
    </row>
    <row r="2" spans="1:17" s="1" customFormat="1" ht="94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27</v>
      </c>
      <c r="G2" s="38">
        <v>2100000</v>
      </c>
      <c r="H2" s="38">
        <f>F2*G2</f>
        <v>56700000</v>
      </c>
      <c r="I2" s="38" t="s">
        <v>19</v>
      </c>
      <c r="J2" s="1">
        <f>27*620</f>
        <v>16740</v>
      </c>
      <c r="K2" s="54">
        <f>54*25500*(1+2%)</f>
        <v>1404540</v>
      </c>
      <c r="L2" s="38">
        <f t="shared" ref="L2" si="0">F2*K2</f>
        <v>37922580</v>
      </c>
      <c r="M2" s="55">
        <v>0.15</v>
      </c>
      <c r="N2" s="38">
        <f>K2/(1-M2)</f>
        <v>1652400</v>
      </c>
      <c r="O2" s="38">
        <f>N2*F2</f>
        <v>44614800</v>
      </c>
      <c r="P2" s="58">
        <f>N2*1.1</f>
        <v>1817640.0000000002</v>
      </c>
    </row>
    <row r="3" spans="1:17" s="1" customFormat="1" ht="84" customHeight="1" x14ac:dyDescent="0.35">
      <c r="A3" s="10">
        <v>2</v>
      </c>
      <c r="B3" s="10" t="s">
        <v>23</v>
      </c>
      <c r="C3" s="36" t="s">
        <v>109</v>
      </c>
      <c r="D3" s="10" t="s">
        <v>92</v>
      </c>
      <c r="E3" s="37" t="s">
        <v>10</v>
      </c>
      <c r="F3" s="37">
        <v>1</v>
      </c>
      <c r="G3" s="38">
        <v>22300000</v>
      </c>
      <c r="H3" s="38">
        <f t="shared" ref="H3:H22" si="1">F3*G3</f>
        <v>22300000</v>
      </c>
      <c r="I3" s="38" t="s">
        <v>20</v>
      </c>
      <c r="K3" s="13">
        <v>17242000</v>
      </c>
      <c r="L3" s="38">
        <f>F3*K3</f>
        <v>17242000</v>
      </c>
      <c r="M3" s="55">
        <v>0.15</v>
      </c>
      <c r="N3" s="38">
        <f t="shared" ref="N3:N22" si="2">K3/(1-M3)</f>
        <v>20284705.882352941</v>
      </c>
      <c r="O3" s="38">
        <f t="shared" ref="O3:O22" si="3">N3*F3</f>
        <v>20284705.882352941</v>
      </c>
      <c r="P3" s="58">
        <f t="shared" ref="P3:P22" si="4">N3*1.1</f>
        <v>22313176.470588237</v>
      </c>
    </row>
    <row r="4" spans="1:17" s="1" customFormat="1" ht="45.65" customHeight="1" x14ac:dyDescent="0.35">
      <c r="A4" s="10">
        <v>3</v>
      </c>
      <c r="B4" s="10" t="s">
        <v>93</v>
      </c>
      <c r="C4" s="36" t="s">
        <v>107</v>
      </c>
      <c r="D4" s="10" t="s">
        <v>92</v>
      </c>
      <c r="E4" s="37" t="s">
        <v>10</v>
      </c>
      <c r="F4" s="37">
        <v>1</v>
      </c>
      <c r="G4" s="38">
        <v>5600000</v>
      </c>
      <c r="H4" s="38">
        <f t="shared" si="1"/>
        <v>5600000</v>
      </c>
      <c r="I4" s="38" t="s">
        <v>46</v>
      </c>
      <c r="K4" s="7">
        <f>3449000+870000</f>
        <v>4319000</v>
      </c>
      <c r="L4" s="38">
        <f>F4*K4</f>
        <v>4319000</v>
      </c>
      <c r="M4" s="55">
        <v>0.15</v>
      </c>
      <c r="N4" s="38">
        <f t="shared" si="2"/>
        <v>5081176.4705882352</v>
      </c>
      <c r="O4" s="38">
        <f t="shared" si="3"/>
        <v>5081176.4705882352</v>
      </c>
      <c r="P4" s="58">
        <f t="shared" si="4"/>
        <v>5589294.1176470593</v>
      </c>
    </row>
    <row r="5" spans="1:17" s="1" customFormat="1" x14ac:dyDescent="0.35">
      <c r="A5" s="50">
        <v>4</v>
      </c>
      <c r="B5" s="50" t="s">
        <v>3</v>
      </c>
      <c r="C5" s="40" t="s">
        <v>0</v>
      </c>
      <c r="D5" s="10" t="s">
        <v>5</v>
      </c>
      <c r="E5" s="10" t="s">
        <v>8</v>
      </c>
      <c r="F5" s="37">
        <v>24</v>
      </c>
      <c r="G5" s="38">
        <v>11000</v>
      </c>
      <c r="H5" s="38">
        <f t="shared" si="1"/>
        <v>264000</v>
      </c>
      <c r="I5" s="38" t="s">
        <v>20</v>
      </c>
      <c r="J5" s="41" t="s">
        <v>81</v>
      </c>
      <c r="K5" s="54">
        <v>8800</v>
      </c>
      <c r="L5" s="38">
        <f t="shared" ref="L5:L25" si="5">F5*K5</f>
        <v>211200</v>
      </c>
      <c r="M5" s="55">
        <v>0.1</v>
      </c>
      <c r="N5" s="38">
        <f t="shared" si="2"/>
        <v>9777.7777777777774</v>
      </c>
      <c r="O5" s="38">
        <f t="shared" si="3"/>
        <v>234666.66666666666</v>
      </c>
      <c r="P5" s="58">
        <f t="shared" si="4"/>
        <v>10755.555555555557</v>
      </c>
    </row>
    <row r="6" spans="1:17" s="1" customFormat="1" x14ac:dyDescent="0.35">
      <c r="A6" s="50"/>
      <c r="B6" s="50"/>
      <c r="C6" s="40" t="s">
        <v>13</v>
      </c>
      <c r="D6" s="10" t="s">
        <v>5</v>
      </c>
      <c r="E6" s="10" t="s">
        <v>8</v>
      </c>
      <c r="F6" s="37">
        <v>48</v>
      </c>
      <c r="G6" s="38">
        <v>11000</v>
      </c>
      <c r="H6" s="38">
        <f t="shared" si="1"/>
        <v>528000</v>
      </c>
      <c r="I6" s="38" t="s">
        <v>20</v>
      </c>
      <c r="K6" s="54">
        <v>8800</v>
      </c>
      <c r="L6" s="38">
        <f t="shared" si="5"/>
        <v>422400</v>
      </c>
      <c r="M6" s="55">
        <v>0.1</v>
      </c>
      <c r="N6" s="38">
        <f t="shared" si="2"/>
        <v>9777.7777777777774</v>
      </c>
      <c r="O6" s="38">
        <f t="shared" si="3"/>
        <v>469333.33333333331</v>
      </c>
      <c r="P6" s="58">
        <f t="shared" si="4"/>
        <v>10755.555555555557</v>
      </c>
    </row>
    <row r="7" spans="1:17" s="1" customFormat="1" x14ac:dyDescent="0.35">
      <c r="A7" s="50"/>
      <c r="B7" s="50"/>
      <c r="C7" s="40" t="s">
        <v>40</v>
      </c>
      <c r="D7" s="10" t="s">
        <v>5</v>
      </c>
      <c r="E7" s="10" t="s">
        <v>8</v>
      </c>
      <c r="F7" s="37">
        <v>16</v>
      </c>
      <c r="G7" s="38">
        <v>360000</v>
      </c>
      <c r="H7" s="38">
        <f t="shared" si="1"/>
        <v>5760000</v>
      </c>
      <c r="I7" s="38" t="s">
        <v>20</v>
      </c>
      <c r="J7" s="66">
        <f>27*2*1.2/4.2</f>
        <v>15.428571428571427</v>
      </c>
      <c r="K7" s="54">
        <v>294000</v>
      </c>
      <c r="L7" s="38">
        <f t="shared" si="5"/>
        <v>4704000</v>
      </c>
      <c r="M7" s="55">
        <v>0.1</v>
      </c>
      <c r="N7" s="38">
        <f t="shared" si="2"/>
        <v>326666.66666666669</v>
      </c>
      <c r="O7" s="38">
        <f t="shared" si="3"/>
        <v>5226666.666666667</v>
      </c>
      <c r="P7" s="58">
        <f t="shared" si="4"/>
        <v>359333.33333333337</v>
      </c>
    </row>
    <row r="8" spans="1:17" s="1" customFormat="1" x14ac:dyDescent="0.35">
      <c r="A8" s="50"/>
      <c r="B8" s="50"/>
      <c r="C8" s="40" t="s">
        <v>25</v>
      </c>
      <c r="D8" s="10" t="s">
        <v>5</v>
      </c>
      <c r="E8" s="10" t="s">
        <v>8</v>
      </c>
      <c r="F8" s="37">
        <v>16</v>
      </c>
      <c r="G8" s="38">
        <v>20000</v>
      </c>
      <c r="H8" s="38">
        <f t="shared" si="1"/>
        <v>320000</v>
      </c>
      <c r="I8" s="38" t="s">
        <v>20</v>
      </c>
      <c r="K8" s="54">
        <v>12800</v>
      </c>
      <c r="L8" s="38">
        <f t="shared" si="5"/>
        <v>204800</v>
      </c>
      <c r="M8" s="55">
        <v>0.1</v>
      </c>
      <c r="N8" s="38">
        <f t="shared" si="2"/>
        <v>14222.222222222223</v>
      </c>
      <c r="O8" s="38">
        <f t="shared" si="3"/>
        <v>227555.55555555556</v>
      </c>
      <c r="P8" s="58">
        <f t="shared" si="4"/>
        <v>15644.444444444445</v>
      </c>
    </row>
    <row r="9" spans="1:17" s="1" customFormat="1" x14ac:dyDescent="0.35">
      <c r="A9" s="50"/>
      <c r="B9" s="50"/>
      <c r="C9" s="40" t="s">
        <v>26</v>
      </c>
      <c r="D9" s="10" t="s">
        <v>5</v>
      </c>
      <c r="E9" s="10" t="s">
        <v>8</v>
      </c>
      <c r="F9" s="37">
        <f>F7*6+4</f>
        <v>100</v>
      </c>
      <c r="G9" s="38">
        <v>20000</v>
      </c>
      <c r="H9" s="38">
        <f t="shared" si="1"/>
        <v>2000000</v>
      </c>
      <c r="I9" s="38" t="s">
        <v>20</v>
      </c>
      <c r="K9" s="54">
        <v>16000</v>
      </c>
      <c r="L9" s="38">
        <f t="shared" si="5"/>
        <v>1600000</v>
      </c>
      <c r="M9" s="55">
        <v>0.1</v>
      </c>
      <c r="N9" s="38">
        <f t="shared" si="2"/>
        <v>17777.777777777777</v>
      </c>
      <c r="O9" s="38">
        <f t="shared" si="3"/>
        <v>1777777.7777777778</v>
      </c>
      <c r="P9" s="58">
        <f t="shared" si="4"/>
        <v>19555.555555555558</v>
      </c>
    </row>
    <row r="10" spans="1:17" s="1" customFormat="1" x14ac:dyDescent="0.35">
      <c r="A10" s="50"/>
      <c r="B10" s="50"/>
      <c r="C10" s="40" t="s">
        <v>30</v>
      </c>
      <c r="D10" s="10" t="s">
        <v>5</v>
      </c>
      <c r="E10" s="10" t="s">
        <v>8</v>
      </c>
      <c r="F10" s="37">
        <v>8</v>
      </c>
      <c r="G10" s="38">
        <v>20000</v>
      </c>
      <c r="H10" s="38">
        <f t="shared" si="1"/>
        <v>160000</v>
      </c>
      <c r="I10" s="38" t="s">
        <v>20</v>
      </c>
      <c r="K10" s="54">
        <v>12600</v>
      </c>
      <c r="L10" s="38">
        <f t="shared" si="5"/>
        <v>100800</v>
      </c>
      <c r="M10" s="55">
        <v>0.1</v>
      </c>
      <c r="N10" s="38">
        <f t="shared" si="2"/>
        <v>14000</v>
      </c>
      <c r="O10" s="38">
        <f t="shared" si="3"/>
        <v>112000</v>
      </c>
      <c r="P10" s="58">
        <f t="shared" si="4"/>
        <v>15400.000000000002</v>
      </c>
    </row>
    <row r="11" spans="1:17" s="1" customFormat="1" x14ac:dyDescent="0.35">
      <c r="A11" s="50"/>
      <c r="B11" s="50"/>
      <c r="C11" s="40" t="s">
        <v>31</v>
      </c>
      <c r="D11" s="10" t="s">
        <v>5</v>
      </c>
      <c r="E11" s="10" t="s">
        <v>8</v>
      </c>
      <c r="F11" s="37">
        <f>F6</f>
        <v>48</v>
      </c>
      <c r="G11" s="38">
        <v>2000</v>
      </c>
      <c r="H11" s="38">
        <f t="shared" si="1"/>
        <v>96000</v>
      </c>
      <c r="I11" s="38" t="s">
        <v>20</v>
      </c>
      <c r="K11" s="54">
        <v>1500</v>
      </c>
      <c r="L11" s="38">
        <f t="shared" si="5"/>
        <v>72000</v>
      </c>
      <c r="M11" s="55">
        <v>0.1</v>
      </c>
      <c r="N11" s="38">
        <f t="shared" si="2"/>
        <v>1666.6666666666665</v>
      </c>
      <c r="O11" s="38">
        <f t="shared" si="3"/>
        <v>80000</v>
      </c>
      <c r="P11" s="58">
        <f t="shared" si="4"/>
        <v>1833.3333333333333</v>
      </c>
    </row>
    <row r="12" spans="1:17" s="1" customFormat="1" ht="29" x14ac:dyDescent="0.35">
      <c r="A12" s="50">
        <v>5</v>
      </c>
      <c r="B12" s="50" t="s">
        <v>4</v>
      </c>
      <c r="C12" s="39" t="s">
        <v>27</v>
      </c>
      <c r="D12" s="10" t="s">
        <v>1</v>
      </c>
      <c r="E12" s="10" t="s">
        <v>17</v>
      </c>
      <c r="F12" s="37">
        <v>100</v>
      </c>
      <c r="G12" s="38">
        <v>18000</v>
      </c>
      <c r="H12" s="38">
        <f t="shared" si="1"/>
        <v>1800000</v>
      </c>
      <c r="I12" s="38" t="s">
        <v>20</v>
      </c>
      <c r="K12" s="54">
        <v>12000</v>
      </c>
      <c r="L12" s="38">
        <f t="shared" si="5"/>
        <v>1200000</v>
      </c>
      <c r="M12" s="55">
        <v>0.1</v>
      </c>
      <c r="N12" s="38">
        <f t="shared" si="2"/>
        <v>13333.333333333332</v>
      </c>
      <c r="O12" s="38">
        <f t="shared" si="3"/>
        <v>1333333.3333333333</v>
      </c>
      <c r="P12" s="58">
        <f t="shared" si="4"/>
        <v>14666.666666666666</v>
      </c>
    </row>
    <row r="13" spans="1:17" s="1" customFormat="1" ht="29" x14ac:dyDescent="0.35">
      <c r="A13" s="50"/>
      <c r="B13" s="50"/>
      <c r="C13" s="39" t="s">
        <v>28</v>
      </c>
      <c r="D13" s="10" t="s">
        <v>1</v>
      </c>
      <c r="E13" s="10" t="s">
        <v>17</v>
      </c>
      <c r="F13" s="37">
        <v>100</v>
      </c>
      <c r="G13" s="38">
        <v>18000</v>
      </c>
      <c r="H13" s="38">
        <f t="shared" si="1"/>
        <v>1800000</v>
      </c>
      <c r="I13" s="38" t="s">
        <v>20</v>
      </c>
      <c r="K13" s="54">
        <v>12000</v>
      </c>
      <c r="L13" s="38">
        <f t="shared" si="5"/>
        <v>1200000</v>
      </c>
      <c r="M13" s="55">
        <v>0.1</v>
      </c>
      <c r="N13" s="38">
        <f t="shared" si="2"/>
        <v>13333.333333333332</v>
      </c>
      <c r="O13" s="38">
        <f t="shared" si="3"/>
        <v>1333333.3333333333</v>
      </c>
      <c r="P13" s="58">
        <f t="shared" si="4"/>
        <v>14666.666666666666</v>
      </c>
    </row>
    <row r="14" spans="1:17" s="1" customFormat="1" ht="29" x14ac:dyDescent="0.35">
      <c r="A14" s="50"/>
      <c r="B14" s="50"/>
      <c r="C14" s="40" t="s">
        <v>108</v>
      </c>
      <c r="D14" s="10" t="s">
        <v>80</v>
      </c>
      <c r="E14" s="10" t="s">
        <v>17</v>
      </c>
      <c r="F14" s="37">
        <v>20</v>
      </c>
      <c r="G14" s="38">
        <v>150000</v>
      </c>
      <c r="H14" s="38">
        <f t="shared" si="1"/>
        <v>3000000</v>
      </c>
      <c r="I14" s="38" t="s">
        <v>20</v>
      </c>
      <c r="K14" s="7">
        <f>135000/1.1+100000/20</f>
        <v>127727.27272727272</v>
      </c>
      <c r="L14" s="38">
        <f t="shared" si="5"/>
        <v>2554545.4545454546</v>
      </c>
      <c r="M14" s="55">
        <v>0.1</v>
      </c>
      <c r="N14" s="38">
        <f t="shared" si="2"/>
        <v>141919.19191919192</v>
      </c>
      <c r="O14" s="38">
        <f t="shared" si="3"/>
        <v>2838383.8383838385</v>
      </c>
      <c r="P14" s="58">
        <f t="shared" si="4"/>
        <v>156111.11111111112</v>
      </c>
    </row>
    <row r="15" spans="1:17" s="1" customFormat="1" ht="25.5" customHeight="1" x14ac:dyDescent="0.35">
      <c r="A15" s="50"/>
      <c r="B15" s="50"/>
      <c r="C15" s="39" t="s">
        <v>9</v>
      </c>
      <c r="D15" s="10" t="s">
        <v>5</v>
      </c>
      <c r="E15" s="10" t="s">
        <v>17</v>
      </c>
      <c r="F15" s="37">
        <v>20</v>
      </c>
      <c r="G15" s="38">
        <v>15000</v>
      </c>
      <c r="H15" s="38">
        <f t="shared" si="1"/>
        <v>300000</v>
      </c>
      <c r="I15" s="38" t="s">
        <v>20</v>
      </c>
      <c r="K15" s="54">
        <v>12000</v>
      </c>
      <c r="L15" s="38">
        <f t="shared" si="5"/>
        <v>240000</v>
      </c>
      <c r="M15" s="55">
        <v>0.1</v>
      </c>
      <c r="N15" s="38">
        <f t="shared" si="2"/>
        <v>13333.333333333332</v>
      </c>
      <c r="O15" s="38">
        <f t="shared" si="3"/>
        <v>266666.66666666663</v>
      </c>
      <c r="P15" s="58">
        <f t="shared" si="4"/>
        <v>14666.666666666666</v>
      </c>
    </row>
    <row r="16" spans="1:17" s="1" customFormat="1" x14ac:dyDescent="0.35">
      <c r="A16" s="50"/>
      <c r="B16" s="50"/>
      <c r="C16" s="39" t="s">
        <v>16</v>
      </c>
      <c r="D16" s="10" t="s">
        <v>1</v>
      </c>
      <c r="E16" s="10" t="s">
        <v>10</v>
      </c>
      <c r="F16" s="37">
        <v>8</v>
      </c>
      <c r="G16" s="38">
        <v>30000</v>
      </c>
      <c r="H16" s="38">
        <f t="shared" si="1"/>
        <v>240000</v>
      </c>
      <c r="I16" s="38" t="s">
        <v>20</v>
      </c>
      <c r="K16" s="54">
        <v>20000</v>
      </c>
      <c r="L16" s="38">
        <f t="shared" si="5"/>
        <v>160000</v>
      </c>
      <c r="M16" s="55">
        <v>0.1</v>
      </c>
      <c r="N16" s="38">
        <f t="shared" si="2"/>
        <v>22222.222222222223</v>
      </c>
      <c r="O16" s="38">
        <f t="shared" si="3"/>
        <v>177777.77777777778</v>
      </c>
      <c r="P16" s="58">
        <f t="shared" si="4"/>
        <v>24444.444444444445</v>
      </c>
    </row>
    <row r="17" spans="1:16" s="1" customFormat="1" ht="102" customHeight="1" x14ac:dyDescent="0.35">
      <c r="A17" s="10">
        <v>6</v>
      </c>
      <c r="B17" s="10" t="s">
        <v>18</v>
      </c>
      <c r="C17" s="39" t="s">
        <v>111</v>
      </c>
      <c r="D17" s="10" t="s">
        <v>2</v>
      </c>
      <c r="E17" s="10" t="s">
        <v>10</v>
      </c>
      <c r="F17" s="37">
        <v>1</v>
      </c>
      <c r="G17" s="38">
        <v>5500000</v>
      </c>
      <c r="H17" s="38">
        <f t="shared" si="1"/>
        <v>5500000</v>
      </c>
      <c r="I17" s="38" t="s">
        <v>46</v>
      </c>
      <c r="K17" s="7">
        <f>3640000/1.1+100000</f>
        <v>3409090.9090909087</v>
      </c>
      <c r="L17" s="38">
        <f t="shared" si="5"/>
        <v>3409090.9090909087</v>
      </c>
      <c r="M17" s="55">
        <v>0.1</v>
      </c>
      <c r="N17" s="38">
        <f t="shared" si="2"/>
        <v>3787878.7878787871</v>
      </c>
      <c r="O17" s="38">
        <f t="shared" si="3"/>
        <v>3787878.7878787871</v>
      </c>
      <c r="P17" s="58">
        <f t="shared" si="4"/>
        <v>4166666.666666666</v>
      </c>
    </row>
    <row r="18" spans="1:16" s="1" customFormat="1" x14ac:dyDescent="0.35">
      <c r="A18" s="50">
        <v>7</v>
      </c>
      <c r="B18" s="52" t="s">
        <v>6</v>
      </c>
      <c r="C18" s="39" t="s">
        <v>21</v>
      </c>
      <c r="D18" s="10" t="s">
        <v>22</v>
      </c>
      <c r="E18" s="10" t="s">
        <v>17</v>
      </c>
      <c r="F18" s="37">
        <v>60</v>
      </c>
      <c r="G18" s="38">
        <v>15000</v>
      </c>
      <c r="H18" s="38">
        <f t="shared" si="1"/>
        <v>900000</v>
      </c>
      <c r="I18" s="38" t="s">
        <v>46</v>
      </c>
      <c r="K18" s="7">
        <v>12000</v>
      </c>
      <c r="L18" s="38">
        <f t="shared" si="5"/>
        <v>720000</v>
      </c>
      <c r="M18" s="55">
        <v>0.1</v>
      </c>
      <c r="N18" s="38">
        <f t="shared" si="2"/>
        <v>13333.333333333332</v>
      </c>
      <c r="O18" s="38">
        <f t="shared" si="3"/>
        <v>799999.99999999988</v>
      </c>
      <c r="P18" s="58">
        <f t="shared" si="4"/>
        <v>14666.666666666666</v>
      </c>
    </row>
    <row r="19" spans="1:16" s="1" customFormat="1" x14ac:dyDescent="0.35">
      <c r="A19" s="50"/>
      <c r="B19" s="52"/>
      <c r="C19" s="39" t="s">
        <v>14</v>
      </c>
      <c r="D19" s="10" t="s">
        <v>5</v>
      </c>
      <c r="E19" s="10" t="s">
        <v>8</v>
      </c>
      <c r="F19" s="37">
        <v>2</v>
      </c>
      <c r="G19" s="38">
        <v>250000</v>
      </c>
      <c r="H19" s="38">
        <f t="shared" si="1"/>
        <v>500000</v>
      </c>
      <c r="I19" s="38" t="s">
        <v>46</v>
      </c>
      <c r="K19" s="7">
        <v>200000</v>
      </c>
      <c r="L19" s="38">
        <f t="shared" si="5"/>
        <v>400000</v>
      </c>
      <c r="M19" s="55">
        <v>0.1</v>
      </c>
      <c r="N19" s="38">
        <f t="shared" si="2"/>
        <v>222222.22222222222</v>
      </c>
      <c r="O19" s="38">
        <f t="shared" si="3"/>
        <v>444444.44444444444</v>
      </c>
      <c r="P19" s="58">
        <f t="shared" si="4"/>
        <v>244444.44444444447</v>
      </c>
    </row>
    <row r="20" spans="1:16" s="1" customFormat="1" x14ac:dyDescent="0.35">
      <c r="A20" s="50"/>
      <c r="B20" s="52"/>
      <c r="C20" s="42" t="s">
        <v>24</v>
      </c>
      <c r="D20" s="10" t="s">
        <v>5</v>
      </c>
      <c r="E20" s="10" t="s">
        <v>17</v>
      </c>
      <c r="F20" s="37">
        <v>60</v>
      </c>
      <c r="G20" s="38">
        <v>15000</v>
      </c>
      <c r="H20" s="38">
        <f t="shared" si="1"/>
        <v>900000</v>
      </c>
      <c r="I20" s="38" t="s">
        <v>46</v>
      </c>
      <c r="K20" s="7">
        <v>12000</v>
      </c>
      <c r="L20" s="38">
        <f t="shared" si="5"/>
        <v>720000</v>
      </c>
      <c r="M20" s="55">
        <v>0.1</v>
      </c>
      <c r="N20" s="38">
        <f t="shared" si="2"/>
        <v>13333.333333333332</v>
      </c>
      <c r="O20" s="38">
        <f t="shared" si="3"/>
        <v>799999.99999999988</v>
      </c>
      <c r="P20" s="58">
        <f t="shared" si="4"/>
        <v>14666.666666666666</v>
      </c>
    </row>
    <row r="21" spans="1:16" s="1" customFormat="1" ht="37.5" customHeight="1" x14ac:dyDescent="0.35">
      <c r="A21" s="50">
        <v>8</v>
      </c>
      <c r="B21" s="50" t="s">
        <v>7</v>
      </c>
      <c r="C21" s="42" t="s">
        <v>29</v>
      </c>
      <c r="D21" s="10" t="s">
        <v>2</v>
      </c>
      <c r="E21" s="10" t="s">
        <v>10</v>
      </c>
      <c r="F21" s="37">
        <v>1</v>
      </c>
      <c r="G21" s="38">
        <v>1500000</v>
      </c>
      <c r="H21" s="38">
        <f t="shared" si="1"/>
        <v>1500000</v>
      </c>
      <c r="I21" s="38"/>
      <c r="K21" s="7">
        <v>1000000</v>
      </c>
      <c r="L21" s="38">
        <f t="shared" si="5"/>
        <v>1000000</v>
      </c>
      <c r="M21" s="55">
        <v>0.1</v>
      </c>
      <c r="N21" s="38">
        <f>K21/(1-M21)</f>
        <v>1111111.111111111</v>
      </c>
      <c r="O21" s="38">
        <f t="shared" si="3"/>
        <v>1111111.111111111</v>
      </c>
      <c r="P21" s="58">
        <f t="shared" si="4"/>
        <v>1222222.2222222222</v>
      </c>
    </row>
    <row r="22" spans="1:16" s="1" customFormat="1" ht="24.5" customHeight="1" x14ac:dyDescent="0.35">
      <c r="A22" s="50"/>
      <c r="B22" s="51"/>
      <c r="C22" s="40" t="s">
        <v>50</v>
      </c>
      <c r="D22" s="10" t="s">
        <v>2</v>
      </c>
      <c r="E22" s="10" t="s">
        <v>10</v>
      </c>
      <c r="F22" s="37">
        <v>1</v>
      </c>
      <c r="G22" s="38">
        <v>13900000</v>
      </c>
      <c r="H22" s="38">
        <f t="shared" si="1"/>
        <v>13900000</v>
      </c>
      <c r="I22" s="38"/>
      <c r="K22" s="7">
        <f>900000*16.74+2000000</f>
        <v>17066000</v>
      </c>
      <c r="L22" s="38">
        <f t="shared" si="5"/>
        <v>17066000</v>
      </c>
      <c r="M22" s="55">
        <v>0.1</v>
      </c>
      <c r="N22" s="38">
        <f t="shared" si="2"/>
        <v>18962222.22222222</v>
      </c>
      <c r="O22" s="38">
        <f t="shared" si="3"/>
        <v>18962222.22222222</v>
      </c>
      <c r="P22" s="58">
        <f t="shared" si="4"/>
        <v>20858444.444444444</v>
      </c>
    </row>
    <row r="23" spans="1:16" s="1" customFormat="1" ht="31.25" customHeight="1" x14ac:dyDescent="0.35">
      <c r="A23" s="51" t="s">
        <v>51</v>
      </c>
      <c r="B23" s="51"/>
      <c r="C23" s="51"/>
      <c r="D23" s="51"/>
      <c r="E23" s="51"/>
      <c r="F23" s="43"/>
      <c r="G23" s="43"/>
      <c r="H23" s="44">
        <f>SUM(H2:H22)</f>
        <v>124068000</v>
      </c>
      <c r="I23" s="39"/>
      <c r="K23" s="9" t="s">
        <v>71</v>
      </c>
      <c r="L23" s="57">
        <f>SUM(L2:L22)</f>
        <v>95468416.36363636</v>
      </c>
      <c r="M23" s="57"/>
      <c r="N23" s="57"/>
      <c r="O23" s="57">
        <f>SUM(O2:O22)</f>
        <v>109963833.86809267</v>
      </c>
      <c r="P23" s="57"/>
    </row>
    <row r="24" spans="1:16" x14ac:dyDescent="0.5">
      <c r="H24" s="67"/>
      <c r="K24" s="9" t="s">
        <v>72</v>
      </c>
      <c r="L24" s="57">
        <f>L23*1.1</f>
        <v>105015258</v>
      </c>
      <c r="M24" s="57"/>
      <c r="N24" s="57"/>
      <c r="O24" s="57">
        <f>O23*1.1</f>
        <v>120960217.25490195</v>
      </c>
      <c r="P24" s="57"/>
    </row>
  </sheetData>
  <mergeCells count="9">
    <mergeCell ref="A21:A22"/>
    <mergeCell ref="B21:B22"/>
    <mergeCell ref="A23:E23"/>
    <mergeCell ref="A5:A11"/>
    <mergeCell ref="B5:B11"/>
    <mergeCell ref="A12:A16"/>
    <mergeCell ref="B12:B16"/>
    <mergeCell ref="A18:A20"/>
    <mergeCell ref="B18:B20"/>
  </mergeCells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FFA9-B35E-C440-9ED8-F31214B63325}">
  <sheetPr>
    <tabColor rgb="FF92D050"/>
  </sheetPr>
  <dimension ref="A1:Q26"/>
  <sheetViews>
    <sheetView showGridLines="0" zoomScale="70" zoomScaleNormal="70" workbookViewId="0">
      <selection activeCell="K2" sqref="K2"/>
    </sheetView>
  </sheetViews>
  <sheetFormatPr defaultColWidth="15.7265625" defaultRowHeight="21" x14ac:dyDescent="0.5"/>
  <cols>
    <col min="1" max="1" width="4.6328125" style="2" bestFit="1" customWidth="1"/>
    <col min="2" max="2" width="16.36328125" style="3" customWidth="1"/>
    <col min="3" max="3" width="52.7265625" style="2" customWidth="1"/>
    <col min="4" max="4" width="14.453125" style="4" customWidth="1"/>
    <col min="5" max="5" width="11.1796875" style="4" customWidth="1"/>
    <col min="6" max="8" width="16.453125" style="4" customWidth="1"/>
    <col min="9" max="9" width="12.81640625" style="5" customWidth="1"/>
    <col min="10" max="10" width="12.36328125" style="2" customWidth="1"/>
    <col min="11" max="11" width="19.7265625" style="5" customWidth="1"/>
    <col min="12" max="12" width="16.7265625" style="5" customWidth="1"/>
    <col min="13" max="13" width="15.26953125" style="5" customWidth="1"/>
    <col min="14" max="14" width="18.54296875" style="5" customWidth="1"/>
    <col min="15" max="15" width="16.6328125" style="5" customWidth="1"/>
    <col min="16" max="16" width="19.0898437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68</v>
      </c>
      <c r="O1" s="53" t="s">
        <v>57</v>
      </c>
      <c r="P1" s="65" t="s">
        <v>73</v>
      </c>
      <c r="Q1" s="8"/>
    </row>
    <row r="2" spans="1:17" s="1" customFormat="1" ht="88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9</v>
      </c>
      <c r="G2" s="38">
        <v>2100000</v>
      </c>
      <c r="H2" s="38">
        <f>F2*G2</f>
        <v>18900000</v>
      </c>
      <c r="I2" s="38" t="s">
        <v>19</v>
      </c>
      <c r="J2" s="1">
        <f>9*620</f>
        <v>5580</v>
      </c>
      <c r="K2" s="54">
        <f>54*25500*(1+2%)</f>
        <v>1404540</v>
      </c>
      <c r="L2" s="38">
        <f t="shared" ref="L2:L24" si="0">F2*K2</f>
        <v>12640860</v>
      </c>
      <c r="M2" s="55">
        <v>0.15</v>
      </c>
      <c r="N2" s="38">
        <f>K2/(1-M2)</f>
        <v>1652400</v>
      </c>
      <c r="O2" s="38">
        <f>N2*F2</f>
        <v>14871600</v>
      </c>
      <c r="P2" s="58">
        <f>N2*1.1</f>
        <v>1817640.0000000002</v>
      </c>
    </row>
    <row r="3" spans="1:17" s="1" customFormat="1" ht="100.25" customHeight="1" x14ac:dyDescent="0.35">
      <c r="A3" s="10">
        <v>2</v>
      </c>
      <c r="B3" s="10" t="s">
        <v>23</v>
      </c>
      <c r="C3" s="36" t="s">
        <v>33</v>
      </c>
      <c r="D3" s="10" t="s">
        <v>34</v>
      </c>
      <c r="E3" s="37" t="s">
        <v>10</v>
      </c>
      <c r="F3" s="37">
        <v>1</v>
      </c>
      <c r="G3" s="38">
        <v>24800000</v>
      </c>
      <c r="H3" s="38">
        <f t="shared" ref="H3:H24" si="1">F3*G3</f>
        <v>24800000</v>
      </c>
      <c r="I3" s="38" t="s">
        <v>20</v>
      </c>
      <c r="K3" s="56">
        <f>20233000/1.1</f>
        <v>18393636.363636363</v>
      </c>
      <c r="L3" s="38">
        <f t="shared" si="0"/>
        <v>18393636.363636363</v>
      </c>
      <c r="M3" s="55">
        <v>0.15</v>
      </c>
      <c r="N3" s="38">
        <f t="shared" ref="N3:N24" si="2">K3/(1-M3)</f>
        <v>21639572.192513369</v>
      </c>
      <c r="O3" s="38">
        <f t="shared" ref="O3:O24" si="3">N3*F3</f>
        <v>21639572.192513369</v>
      </c>
      <c r="P3" s="58">
        <f t="shared" ref="P3:P24" si="4">N3*1.1</f>
        <v>23803529.411764707</v>
      </c>
    </row>
    <row r="4" spans="1:17" s="1" customFormat="1" ht="71.400000000000006" customHeight="1" x14ac:dyDescent="0.35">
      <c r="A4" s="50">
        <v>3</v>
      </c>
      <c r="B4" s="50" t="s">
        <v>12</v>
      </c>
      <c r="C4" s="36" t="s">
        <v>35</v>
      </c>
      <c r="D4" s="10" t="s">
        <v>36</v>
      </c>
      <c r="E4" s="37" t="s">
        <v>10</v>
      </c>
      <c r="F4" s="37">
        <v>1</v>
      </c>
      <c r="G4" s="38">
        <v>23000000</v>
      </c>
      <c r="H4" s="38">
        <f>F4*G4</f>
        <v>23000000</v>
      </c>
      <c r="I4" s="38" t="s">
        <v>20</v>
      </c>
      <c r="K4" s="54">
        <f>17600000/1.1</f>
        <v>15999999.999999998</v>
      </c>
      <c r="L4" s="38">
        <f t="shared" si="0"/>
        <v>15999999.999999998</v>
      </c>
      <c r="M4" s="55">
        <v>0.15</v>
      </c>
      <c r="N4" s="38">
        <f t="shared" si="2"/>
        <v>18823529.411764704</v>
      </c>
      <c r="O4" s="38">
        <f t="shared" si="3"/>
        <v>18823529.411764704</v>
      </c>
      <c r="P4" s="58">
        <f t="shared" si="4"/>
        <v>20705882.352941174</v>
      </c>
    </row>
    <row r="5" spans="1:17" s="1" customFormat="1" ht="26.4" customHeight="1" x14ac:dyDescent="0.35">
      <c r="A5" s="50"/>
      <c r="B5" s="50"/>
      <c r="C5" s="39" t="s">
        <v>37</v>
      </c>
      <c r="D5" s="10" t="s">
        <v>2</v>
      </c>
      <c r="E5" s="10" t="s">
        <v>10</v>
      </c>
      <c r="F5" s="37">
        <v>1</v>
      </c>
      <c r="G5" s="38">
        <v>800000</v>
      </c>
      <c r="H5" s="38">
        <f t="shared" si="1"/>
        <v>800000</v>
      </c>
      <c r="I5" s="38" t="s">
        <v>20</v>
      </c>
      <c r="K5" s="54">
        <f>300000/1.1</f>
        <v>272727.27272727271</v>
      </c>
      <c r="L5" s="38">
        <f t="shared" si="0"/>
        <v>272727.27272727271</v>
      </c>
      <c r="M5" s="55">
        <v>0.1</v>
      </c>
      <c r="N5" s="38">
        <f t="shared" si="2"/>
        <v>303030.30303030298</v>
      </c>
      <c r="O5" s="38">
        <f t="shared" si="3"/>
        <v>303030.30303030298</v>
      </c>
      <c r="P5" s="58">
        <f t="shared" si="4"/>
        <v>333333.33333333331</v>
      </c>
    </row>
    <row r="6" spans="1:17" s="1" customFormat="1" ht="26.4" customHeight="1" x14ac:dyDescent="0.35">
      <c r="A6" s="50"/>
      <c r="B6" s="50"/>
      <c r="C6" s="39" t="s">
        <v>38</v>
      </c>
      <c r="D6" s="10" t="s">
        <v>5</v>
      </c>
      <c r="E6" s="10" t="s">
        <v>10</v>
      </c>
      <c r="F6" s="37">
        <v>1</v>
      </c>
      <c r="G6" s="38">
        <v>100000</v>
      </c>
      <c r="H6" s="38">
        <f t="shared" si="1"/>
        <v>100000</v>
      </c>
      <c r="I6" s="38" t="s">
        <v>20</v>
      </c>
      <c r="K6" s="54">
        <v>0</v>
      </c>
      <c r="L6" s="38">
        <f t="shared" si="0"/>
        <v>0</v>
      </c>
      <c r="M6" s="55">
        <v>0.1</v>
      </c>
      <c r="N6" s="38">
        <f t="shared" si="2"/>
        <v>0</v>
      </c>
      <c r="O6" s="38">
        <f t="shared" si="3"/>
        <v>0</v>
      </c>
      <c r="P6" s="58">
        <f t="shared" si="4"/>
        <v>0</v>
      </c>
    </row>
    <row r="7" spans="1:17" s="1" customFormat="1" x14ac:dyDescent="0.35">
      <c r="A7" s="50">
        <v>4</v>
      </c>
      <c r="B7" s="50" t="s">
        <v>3</v>
      </c>
      <c r="C7" s="40" t="s">
        <v>0</v>
      </c>
      <c r="D7" s="10" t="s">
        <v>5</v>
      </c>
      <c r="E7" s="10" t="s">
        <v>8</v>
      </c>
      <c r="F7" s="37">
        <v>8</v>
      </c>
      <c r="G7" s="38">
        <v>11000</v>
      </c>
      <c r="H7" s="38">
        <f t="shared" si="1"/>
        <v>88000</v>
      </c>
      <c r="I7" s="38" t="s">
        <v>20</v>
      </c>
      <c r="J7" s="41" t="s">
        <v>39</v>
      </c>
      <c r="K7" s="54">
        <v>8800</v>
      </c>
      <c r="L7" s="38">
        <f t="shared" si="0"/>
        <v>70400</v>
      </c>
      <c r="M7" s="55">
        <v>0.1</v>
      </c>
      <c r="N7" s="38">
        <f t="shared" si="2"/>
        <v>9777.7777777777774</v>
      </c>
      <c r="O7" s="38">
        <f t="shared" si="3"/>
        <v>78222.222222222219</v>
      </c>
      <c r="P7" s="58">
        <f t="shared" si="4"/>
        <v>10755.555555555557</v>
      </c>
    </row>
    <row r="8" spans="1:17" s="1" customFormat="1" x14ac:dyDescent="0.35">
      <c r="A8" s="50"/>
      <c r="B8" s="50"/>
      <c r="C8" s="40" t="s">
        <v>13</v>
      </c>
      <c r="D8" s="10" t="s">
        <v>5</v>
      </c>
      <c r="E8" s="10" t="s">
        <v>8</v>
      </c>
      <c r="F8" s="37">
        <v>18</v>
      </c>
      <c r="G8" s="38">
        <v>11000</v>
      </c>
      <c r="H8" s="38">
        <f t="shared" si="1"/>
        <v>198000</v>
      </c>
      <c r="I8" s="38" t="s">
        <v>20</v>
      </c>
      <c r="K8" s="54">
        <v>8800</v>
      </c>
      <c r="L8" s="38">
        <f t="shared" si="0"/>
        <v>158400</v>
      </c>
      <c r="M8" s="55">
        <v>0.1</v>
      </c>
      <c r="N8" s="38">
        <f t="shared" si="2"/>
        <v>9777.7777777777774</v>
      </c>
      <c r="O8" s="38">
        <f t="shared" si="3"/>
        <v>176000</v>
      </c>
      <c r="P8" s="58">
        <f t="shared" si="4"/>
        <v>10755.555555555557</v>
      </c>
    </row>
    <row r="9" spans="1:17" s="1" customFormat="1" x14ac:dyDescent="0.35">
      <c r="A9" s="50"/>
      <c r="B9" s="50"/>
      <c r="C9" s="40" t="s">
        <v>40</v>
      </c>
      <c r="D9" s="10" t="s">
        <v>5</v>
      </c>
      <c r="E9" s="10" t="s">
        <v>8</v>
      </c>
      <c r="F9" s="37">
        <v>6</v>
      </c>
      <c r="G9" s="38">
        <v>360000</v>
      </c>
      <c r="H9" s="38">
        <f t="shared" si="1"/>
        <v>2160000</v>
      </c>
      <c r="I9" s="38" t="s">
        <v>20</v>
      </c>
      <c r="J9" s="1">
        <f>9*2*1.2/4.2</f>
        <v>5.1428571428571423</v>
      </c>
      <c r="K9" s="54">
        <v>294000</v>
      </c>
      <c r="L9" s="38">
        <f t="shared" si="0"/>
        <v>1764000</v>
      </c>
      <c r="M9" s="55">
        <v>0.1</v>
      </c>
      <c r="N9" s="38">
        <f t="shared" si="2"/>
        <v>326666.66666666669</v>
      </c>
      <c r="O9" s="38">
        <f t="shared" si="3"/>
        <v>1960000</v>
      </c>
      <c r="P9" s="58">
        <f t="shared" si="4"/>
        <v>359333.33333333337</v>
      </c>
    </row>
    <row r="10" spans="1:17" s="1" customFormat="1" x14ac:dyDescent="0.35">
      <c r="A10" s="50"/>
      <c r="B10" s="50"/>
      <c r="C10" s="40" t="s">
        <v>25</v>
      </c>
      <c r="D10" s="10" t="s">
        <v>5</v>
      </c>
      <c r="E10" s="10" t="s">
        <v>8</v>
      </c>
      <c r="F10" s="37">
        <v>6</v>
      </c>
      <c r="G10" s="38">
        <v>20000</v>
      </c>
      <c r="H10" s="38">
        <f t="shared" si="1"/>
        <v>120000</v>
      </c>
      <c r="I10" s="38" t="s">
        <v>20</v>
      </c>
      <c r="K10" s="54">
        <v>12800</v>
      </c>
      <c r="L10" s="38">
        <f t="shared" si="0"/>
        <v>76800</v>
      </c>
      <c r="M10" s="55">
        <v>0.1</v>
      </c>
      <c r="N10" s="38">
        <f t="shared" si="2"/>
        <v>14222.222222222223</v>
      </c>
      <c r="O10" s="38">
        <f t="shared" si="3"/>
        <v>85333.333333333343</v>
      </c>
      <c r="P10" s="58">
        <f t="shared" si="4"/>
        <v>15644.444444444445</v>
      </c>
    </row>
    <row r="11" spans="1:17" s="1" customFormat="1" x14ac:dyDescent="0.35">
      <c r="A11" s="50"/>
      <c r="B11" s="50"/>
      <c r="C11" s="40" t="s">
        <v>26</v>
      </c>
      <c r="D11" s="10" t="s">
        <v>5</v>
      </c>
      <c r="E11" s="10" t="s">
        <v>8</v>
      </c>
      <c r="F11" s="37">
        <v>28</v>
      </c>
      <c r="G11" s="38">
        <v>20000</v>
      </c>
      <c r="H11" s="38">
        <f t="shared" si="1"/>
        <v>560000</v>
      </c>
      <c r="I11" s="38" t="s">
        <v>20</v>
      </c>
      <c r="K11" s="54">
        <v>16000</v>
      </c>
      <c r="L11" s="38">
        <f t="shared" si="0"/>
        <v>448000</v>
      </c>
      <c r="M11" s="55">
        <v>0.1</v>
      </c>
      <c r="N11" s="38">
        <f t="shared" si="2"/>
        <v>17777.777777777777</v>
      </c>
      <c r="O11" s="38">
        <f t="shared" si="3"/>
        <v>497777.77777777775</v>
      </c>
      <c r="P11" s="58">
        <f t="shared" si="4"/>
        <v>19555.555555555558</v>
      </c>
    </row>
    <row r="12" spans="1:17" s="1" customFormat="1" x14ac:dyDescent="0.35">
      <c r="A12" s="50"/>
      <c r="B12" s="50"/>
      <c r="C12" s="40" t="s">
        <v>30</v>
      </c>
      <c r="D12" s="10" t="s">
        <v>5</v>
      </c>
      <c r="E12" s="10" t="s">
        <v>8</v>
      </c>
      <c r="F12" s="37">
        <v>2</v>
      </c>
      <c r="G12" s="38">
        <v>20000</v>
      </c>
      <c r="H12" s="38">
        <f t="shared" si="1"/>
        <v>40000</v>
      </c>
      <c r="I12" s="38" t="s">
        <v>20</v>
      </c>
      <c r="K12" s="54">
        <v>12600</v>
      </c>
      <c r="L12" s="38">
        <f t="shared" si="0"/>
        <v>25200</v>
      </c>
      <c r="M12" s="55">
        <v>0.1</v>
      </c>
      <c r="N12" s="38">
        <f t="shared" si="2"/>
        <v>14000</v>
      </c>
      <c r="O12" s="38">
        <f t="shared" si="3"/>
        <v>28000</v>
      </c>
      <c r="P12" s="58">
        <f t="shared" si="4"/>
        <v>15400.000000000002</v>
      </c>
    </row>
    <row r="13" spans="1:17" s="1" customFormat="1" x14ac:dyDescent="0.35">
      <c r="A13" s="50"/>
      <c r="B13" s="50"/>
      <c r="C13" s="40" t="s">
        <v>31</v>
      </c>
      <c r="D13" s="10" t="s">
        <v>5</v>
      </c>
      <c r="E13" s="10" t="s">
        <v>8</v>
      </c>
      <c r="F13" s="37">
        <v>8</v>
      </c>
      <c r="G13" s="38">
        <v>2000</v>
      </c>
      <c r="H13" s="38">
        <f t="shared" si="1"/>
        <v>16000</v>
      </c>
      <c r="I13" s="38" t="s">
        <v>20</v>
      </c>
      <c r="K13" s="54">
        <v>1500</v>
      </c>
      <c r="L13" s="38">
        <f t="shared" si="0"/>
        <v>12000</v>
      </c>
      <c r="M13" s="55">
        <v>0.1</v>
      </c>
      <c r="N13" s="38">
        <f t="shared" si="2"/>
        <v>1666.6666666666665</v>
      </c>
      <c r="O13" s="38">
        <f t="shared" si="3"/>
        <v>13333.333333333332</v>
      </c>
      <c r="P13" s="58">
        <f t="shared" si="4"/>
        <v>1833.3333333333333</v>
      </c>
    </row>
    <row r="14" spans="1:17" s="1" customFormat="1" ht="29" x14ac:dyDescent="0.35">
      <c r="A14" s="50">
        <v>5</v>
      </c>
      <c r="B14" s="50" t="s">
        <v>4</v>
      </c>
      <c r="C14" s="39" t="s">
        <v>27</v>
      </c>
      <c r="D14" s="10" t="s">
        <v>41</v>
      </c>
      <c r="E14" s="10" t="s">
        <v>17</v>
      </c>
      <c r="F14" s="37">
        <v>60</v>
      </c>
      <c r="G14" s="38">
        <v>18000</v>
      </c>
      <c r="H14" s="38">
        <f t="shared" si="1"/>
        <v>1080000</v>
      </c>
      <c r="I14" s="38" t="s">
        <v>20</v>
      </c>
      <c r="K14" s="54">
        <v>12000</v>
      </c>
      <c r="L14" s="38">
        <f t="shared" si="0"/>
        <v>720000</v>
      </c>
      <c r="M14" s="55">
        <v>0.1</v>
      </c>
      <c r="N14" s="38">
        <f t="shared" si="2"/>
        <v>13333.333333333332</v>
      </c>
      <c r="O14" s="38">
        <f t="shared" si="3"/>
        <v>799999.99999999988</v>
      </c>
      <c r="P14" s="58">
        <f t="shared" si="4"/>
        <v>14666.666666666666</v>
      </c>
    </row>
    <row r="15" spans="1:17" s="1" customFormat="1" ht="29" x14ac:dyDescent="0.35">
      <c r="A15" s="50"/>
      <c r="B15" s="50"/>
      <c r="C15" s="39" t="s">
        <v>28</v>
      </c>
      <c r="D15" s="10" t="s">
        <v>41</v>
      </c>
      <c r="E15" s="10" t="s">
        <v>17</v>
      </c>
      <c r="F15" s="37">
        <v>60</v>
      </c>
      <c r="G15" s="38">
        <v>18000</v>
      </c>
      <c r="H15" s="38">
        <f t="shared" si="1"/>
        <v>1080000</v>
      </c>
      <c r="I15" s="38" t="s">
        <v>20</v>
      </c>
      <c r="K15" s="54">
        <v>12000</v>
      </c>
      <c r="L15" s="38">
        <f t="shared" si="0"/>
        <v>720000</v>
      </c>
      <c r="M15" s="55">
        <v>0.1</v>
      </c>
      <c r="N15" s="38">
        <f t="shared" si="2"/>
        <v>13333.333333333332</v>
      </c>
      <c r="O15" s="38">
        <f t="shared" si="3"/>
        <v>799999.99999999988</v>
      </c>
      <c r="P15" s="58">
        <f t="shared" si="4"/>
        <v>14666.666666666666</v>
      </c>
    </row>
    <row r="16" spans="1:17" s="1" customFormat="1" ht="29" x14ac:dyDescent="0.35">
      <c r="A16" s="50"/>
      <c r="B16" s="50"/>
      <c r="C16" s="40" t="s">
        <v>42</v>
      </c>
      <c r="D16" s="10" t="s">
        <v>43</v>
      </c>
      <c r="E16" s="10" t="s">
        <v>17</v>
      </c>
      <c r="F16" s="37">
        <v>20</v>
      </c>
      <c r="G16" s="38">
        <v>40000</v>
      </c>
      <c r="H16" s="38">
        <f t="shared" si="1"/>
        <v>800000</v>
      </c>
      <c r="I16" s="38" t="s">
        <v>20</v>
      </c>
      <c r="K16" s="54">
        <v>32000</v>
      </c>
      <c r="L16" s="38">
        <f t="shared" si="0"/>
        <v>640000</v>
      </c>
      <c r="M16" s="55">
        <v>0.1</v>
      </c>
      <c r="N16" s="38">
        <f t="shared" si="2"/>
        <v>35555.555555555555</v>
      </c>
      <c r="O16" s="38">
        <f t="shared" si="3"/>
        <v>711111.11111111112</v>
      </c>
      <c r="P16" s="58">
        <f t="shared" si="4"/>
        <v>39111.111111111117</v>
      </c>
    </row>
    <row r="17" spans="1:16" s="1" customFormat="1" ht="34.25" customHeight="1" x14ac:dyDescent="0.35">
      <c r="A17" s="50"/>
      <c r="B17" s="50"/>
      <c r="C17" s="39" t="s">
        <v>44</v>
      </c>
      <c r="D17" s="10" t="s">
        <v>5</v>
      </c>
      <c r="E17" s="10" t="s">
        <v>10</v>
      </c>
      <c r="F17" s="37">
        <v>1</v>
      </c>
      <c r="G17" s="38">
        <v>300000</v>
      </c>
      <c r="H17" s="38">
        <f t="shared" si="1"/>
        <v>300000</v>
      </c>
      <c r="I17" s="38" t="s">
        <v>20</v>
      </c>
      <c r="K17" s="54">
        <v>0</v>
      </c>
      <c r="L17" s="38">
        <f t="shared" si="0"/>
        <v>0</v>
      </c>
      <c r="M17" s="55">
        <v>0.1</v>
      </c>
      <c r="N17" s="38">
        <f t="shared" si="2"/>
        <v>0</v>
      </c>
      <c r="O17" s="38">
        <f t="shared" si="3"/>
        <v>0</v>
      </c>
      <c r="P17" s="58">
        <f t="shared" si="4"/>
        <v>0</v>
      </c>
    </row>
    <row r="18" spans="1:16" s="1" customFormat="1" x14ac:dyDescent="0.35">
      <c r="A18" s="50"/>
      <c r="B18" s="50"/>
      <c r="C18" s="39" t="s">
        <v>16</v>
      </c>
      <c r="D18" s="10" t="s">
        <v>41</v>
      </c>
      <c r="E18" s="10" t="s">
        <v>10</v>
      </c>
      <c r="F18" s="37">
        <v>8</v>
      </c>
      <c r="G18" s="38">
        <v>30000</v>
      </c>
      <c r="H18" s="38">
        <f t="shared" si="1"/>
        <v>240000</v>
      </c>
      <c r="I18" s="38" t="s">
        <v>20</v>
      </c>
      <c r="K18" s="54">
        <v>20000</v>
      </c>
      <c r="L18" s="38">
        <f t="shared" si="0"/>
        <v>160000</v>
      </c>
      <c r="M18" s="55">
        <v>0.1</v>
      </c>
      <c r="N18" s="38">
        <f t="shared" si="2"/>
        <v>22222.222222222223</v>
      </c>
      <c r="O18" s="38">
        <f t="shared" si="3"/>
        <v>177777.77777777778</v>
      </c>
      <c r="P18" s="58">
        <f t="shared" si="4"/>
        <v>24444.444444444445</v>
      </c>
    </row>
    <row r="19" spans="1:16" s="1" customFormat="1" ht="119.4" customHeight="1" x14ac:dyDescent="0.35">
      <c r="A19" s="10">
        <v>6</v>
      </c>
      <c r="B19" s="10" t="s">
        <v>18</v>
      </c>
      <c r="C19" s="39" t="s">
        <v>45</v>
      </c>
      <c r="D19" s="10" t="s">
        <v>2</v>
      </c>
      <c r="E19" s="10" t="s">
        <v>10</v>
      </c>
      <c r="F19" s="37">
        <v>1</v>
      </c>
      <c r="G19" s="38">
        <v>6500000</v>
      </c>
      <c r="H19" s="38">
        <f t="shared" si="1"/>
        <v>6500000</v>
      </c>
      <c r="I19" s="38" t="s">
        <v>46</v>
      </c>
      <c r="K19" s="54">
        <f>4380000/1.1+1500000</f>
        <v>5481818.1818181816</v>
      </c>
      <c r="L19" s="38">
        <f t="shared" si="0"/>
        <v>5481818.1818181816</v>
      </c>
      <c r="M19" s="55">
        <v>0.1</v>
      </c>
      <c r="N19" s="38">
        <f t="shared" si="2"/>
        <v>6090909.0909090908</v>
      </c>
      <c r="O19" s="38">
        <f t="shared" si="3"/>
        <v>6090909.0909090908</v>
      </c>
      <c r="P19" s="58">
        <f t="shared" si="4"/>
        <v>6700000</v>
      </c>
    </row>
    <row r="20" spans="1:16" s="1" customFormat="1" x14ac:dyDescent="0.35">
      <c r="A20" s="50">
        <v>7</v>
      </c>
      <c r="B20" s="52" t="s">
        <v>6</v>
      </c>
      <c r="C20" s="39" t="s">
        <v>47</v>
      </c>
      <c r="D20" s="10" t="s">
        <v>48</v>
      </c>
      <c r="E20" s="10" t="s">
        <v>17</v>
      </c>
      <c r="F20" s="37">
        <v>30</v>
      </c>
      <c r="G20" s="38">
        <v>15000</v>
      </c>
      <c r="H20" s="38">
        <f t="shared" si="1"/>
        <v>450000</v>
      </c>
      <c r="I20" s="38" t="s">
        <v>46</v>
      </c>
      <c r="K20" s="54">
        <v>12000</v>
      </c>
      <c r="L20" s="38">
        <f t="shared" si="0"/>
        <v>360000</v>
      </c>
      <c r="M20" s="55">
        <v>0.1</v>
      </c>
      <c r="N20" s="38">
        <f t="shared" si="2"/>
        <v>13333.333333333332</v>
      </c>
      <c r="O20" s="38">
        <f t="shared" si="3"/>
        <v>399999.99999999994</v>
      </c>
      <c r="P20" s="58">
        <f t="shared" si="4"/>
        <v>14666.666666666666</v>
      </c>
    </row>
    <row r="21" spans="1:16" s="1" customFormat="1" x14ac:dyDescent="0.35">
      <c r="A21" s="50"/>
      <c r="B21" s="52"/>
      <c r="C21" s="39" t="s">
        <v>49</v>
      </c>
      <c r="D21" s="10" t="s">
        <v>5</v>
      </c>
      <c r="E21" s="10" t="s">
        <v>8</v>
      </c>
      <c r="F21" s="37">
        <v>1</v>
      </c>
      <c r="G21" s="38">
        <v>250000</v>
      </c>
      <c r="H21" s="38">
        <f t="shared" si="1"/>
        <v>250000</v>
      </c>
      <c r="I21" s="38" t="s">
        <v>46</v>
      </c>
      <c r="K21" s="54">
        <v>200000</v>
      </c>
      <c r="L21" s="38">
        <f t="shared" si="0"/>
        <v>200000</v>
      </c>
      <c r="M21" s="55">
        <v>0.1</v>
      </c>
      <c r="N21" s="38">
        <f t="shared" si="2"/>
        <v>222222.22222222222</v>
      </c>
      <c r="O21" s="38">
        <f t="shared" si="3"/>
        <v>222222.22222222222</v>
      </c>
      <c r="P21" s="58">
        <f t="shared" si="4"/>
        <v>244444.44444444447</v>
      </c>
    </row>
    <row r="22" spans="1:16" s="1" customFormat="1" x14ac:dyDescent="0.35">
      <c r="A22" s="50"/>
      <c r="B22" s="52"/>
      <c r="C22" s="42" t="s">
        <v>24</v>
      </c>
      <c r="D22" s="10" t="s">
        <v>5</v>
      </c>
      <c r="E22" s="10" t="s">
        <v>17</v>
      </c>
      <c r="F22" s="37">
        <v>30</v>
      </c>
      <c r="G22" s="38">
        <v>15000</v>
      </c>
      <c r="H22" s="38">
        <f t="shared" si="1"/>
        <v>450000</v>
      </c>
      <c r="I22" s="38" t="s">
        <v>46</v>
      </c>
      <c r="K22" s="54">
        <v>12000</v>
      </c>
      <c r="L22" s="38">
        <f t="shared" si="0"/>
        <v>360000</v>
      </c>
      <c r="M22" s="55">
        <v>0.1</v>
      </c>
      <c r="N22" s="38">
        <f t="shared" si="2"/>
        <v>13333.333333333332</v>
      </c>
      <c r="O22" s="38">
        <f t="shared" si="3"/>
        <v>399999.99999999994</v>
      </c>
      <c r="P22" s="58">
        <f t="shared" si="4"/>
        <v>14666.666666666666</v>
      </c>
    </row>
    <row r="23" spans="1:16" s="1" customFormat="1" ht="29" x14ac:dyDescent="0.35">
      <c r="A23" s="50">
        <v>8</v>
      </c>
      <c r="B23" s="50" t="s">
        <v>7</v>
      </c>
      <c r="C23" s="42" t="s">
        <v>29</v>
      </c>
      <c r="D23" s="10" t="s">
        <v>2</v>
      </c>
      <c r="E23" s="10" t="s">
        <v>10</v>
      </c>
      <c r="F23" s="37">
        <v>1</v>
      </c>
      <c r="G23" s="38">
        <v>500000</v>
      </c>
      <c r="H23" s="38">
        <f t="shared" si="1"/>
        <v>500000</v>
      </c>
      <c r="I23" s="38"/>
      <c r="K23" s="54">
        <v>500000</v>
      </c>
      <c r="L23" s="38">
        <f t="shared" si="0"/>
        <v>500000</v>
      </c>
      <c r="M23" s="55">
        <v>0.1</v>
      </c>
      <c r="N23" s="38">
        <f>K23/(1-M23)</f>
        <v>555555.5555555555</v>
      </c>
      <c r="O23" s="38">
        <f t="shared" si="3"/>
        <v>555555.5555555555</v>
      </c>
      <c r="P23" s="58">
        <f t="shared" si="4"/>
        <v>611111.11111111112</v>
      </c>
    </row>
    <row r="24" spans="1:16" s="1" customFormat="1" x14ac:dyDescent="0.35">
      <c r="A24" s="50"/>
      <c r="B24" s="51"/>
      <c r="C24" s="40" t="s">
        <v>50</v>
      </c>
      <c r="D24" s="10" t="s">
        <v>2</v>
      </c>
      <c r="E24" s="10" t="s">
        <v>10</v>
      </c>
      <c r="F24" s="37">
        <v>1</v>
      </c>
      <c r="G24" s="38">
        <v>4900000</v>
      </c>
      <c r="H24" s="38">
        <f t="shared" si="1"/>
        <v>4900000</v>
      </c>
      <c r="I24" s="38"/>
      <c r="K24" s="54">
        <f>1000000*5.58+2000000</f>
        <v>7580000</v>
      </c>
      <c r="L24" s="38">
        <f t="shared" si="0"/>
        <v>7580000</v>
      </c>
      <c r="M24" s="55">
        <v>0.1</v>
      </c>
      <c r="N24" s="38">
        <f t="shared" si="2"/>
        <v>8422222.222222222</v>
      </c>
      <c r="O24" s="38">
        <f t="shared" si="3"/>
        <v>8422222.222222222</v>
      </c>
      <c r="P24" s="58">
        <f t="shared" si="4"/>
        <v>9264444.4444444459</v>
      </c>
    </row>
    <row r="25" spans="1:16" s="1" customFormat="1" ht="27.65" customHeight="1" x14ac:dyDescent="0.35">
      <c r="A25" s="51" t="s">
        <v>51</v>
      </c>
      <c r="B25" s="51"/>
      <c r="C25" s="51"/>
      <c r="D25" s="51"/>
      <c r="E25" s="51"/>
      <c r="F25" s="43"/>
      <c r="G25" s="43"/>
      <c r="H25" s="44">
        <f>SUM(H2:H24)</f>
        <v>87332000</v>
      </c>
      <c r="I25" s="39"/>
      <c r="K25" s="9" t="s">
        <v>71</v>
      </c>
      <c r="L25" s="57">
        <f>SUM(L2:L24)</f>
        <v>66583841.818181813</v>
      </c>
      <c r="M25" s="57"/>
      <c r="N25" s="57"/>
      <c r="O25" s="57">
        <f>SUM(O2:O24)</f>
        <v>77056196.553773031</v>
      </c>
      <c r="P25" s="57"/>
    </row>
    <row r="26" spans="1:16" x14ac:dyDescent="0.5">
      <c r="K26" s="9" t="s">
        <v>72</v>
      </c>
      <c r="L26" s="57">
        <f>L25*1.1</f>
        <v>73242226</v>
      </c>
      <c r="M26" s="57"/>
      <c r="N26" s="57"/>
      <c r="O26" s="57">
        <f>O25*1.1</f>
        <v>84761816.209150344</v>
      </c>
      <c r="P26" s="57"/>
    </row>
  </sheetData>
  <mergeCells count="11">
    <mergeCell ref="A4:A6"/>
    <mergeCell ref="B4:B6"/>
    <mergeCell ref="A7:A13"/>
    <mergeCell ref="B7:B13"/>
    <mergeCell ref="A14:A18"/>
    <mergeCell ref="B14:B18"/>
    <mergeCell ref="A25:E25"/>
    <mergeCell ref="B20:B22"/>
    <mergeCell ref="B23:B24"/>
    <mergeCell ref="A23:A24"/>
    <mergeCell ref="A20:A22"/>
  </mergeCells>
  <phoneticPr fontId="16" type="noConversion"/>
  <printOptions horizontalCentered="1"/>
  <pageMargins left="0.25" right="0.25" top="0.25" bottom="0.2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292D-EE61-4E49-B016-6846DBF473D2}">
  <dimension ref="A1:Q26"/>
  <sheetViews>
    <sheetView topLeftCell="A4" zoomScale="80" zoomScaleNormal="80" workbookViewId="0">
      <selection activeCell="F7" sqref="F7:F13"/>
    </sheetView>
  </sheetViews>
  <sheetFormatPr defaultColWidth="15.7265625" defaultRowHeight="21" x14ac:dyDescent="0.5"/>
  <cols>
    <col min="1" max="1" width="4.7265625" style="2" bestFit="1" customWidth="1"/>
    <col min="2" max="2" width="16.36328125" style="3" customWidth="1"/>
    <col min="3" max="3" width="49.81640625" style="2" customWidth="1"/>
    <col min="4" max="4" width="14.453125" style="4" customWidth="1"/>
    <col min="5" max="5" width="11.1796875" style="4" customWidth="1"/>
    <col min="6" max="8" width="16.453125" style="4" customWidth="1"/>
    <col min="9" max="9" width="12.81640625" style="5" customWidth="1"/>
    <col min="10" max="10" width="15.7265625" style="2"/>
    <col min="11" max="11" width="20.1796875" style="5" customWidth="1"/>
    <col min="12" max="12" width="15.6328125" style="5" bestFit="1" customWidth="1"/>
    <col min="13" max="13" width="15.26953125" style="5" customWidth="1"/>
    <col min="14" max="14" width="18.54296875" style="5" customWidth="1"/>
    <col min="15" max="15" width="15.90625" style="5" bestFit="1" customWidth="1"/>
    <col min="16" max="16" width="23.2695312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56</v>
      </c>
      <c r="O1" s="53" t="s">
        <v>57</v>
      </c>
      <c r="P1" s="65" t="s">
        <v>73</v>
      </c>
      <c r="Q1" s="8"/>
    </row>
    <row r="2" spans="1:17" s="1" customFormat="1" ht="91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14</v>
      </c>
      <c r="G2" s="38">
        <v>2100000</v>
      </c>
      <c r="H2" s="38">
        <f>F2*G2</f>
        <v>29400000</v>
      </c>
      <c r="I2" s="38" t="s">
        <v>19</v>
      </c>
      <c r="J2" s="1">
        <f>14*620</f>
        <v>8680</v>
      </c>
      <c r="K2" s="54">
        <f>54*25500*(1+2%)</f>
        <v>1404540</v>
      </c>
      <c r="L2" s="6">
        <f t="shared" ref="L2" si="0">F2*K2</f>
        <v>19663560</v>
      </c>
      <c r="M2" s="64">
        <v>0.15</v>
      </c>
      <c r="N2" s="6">
        <f>K2/(1-M2)</f>
        <v>1652400</v>
      </c>
      <c r="O2" s="6">
        <f>N2*F2</f>
        <v>23133600</v>
      </c>
      <c r="P2" s="63">
        <f>N2*1.1</f>
        <v>1817640.0000000002</v>
      </c>
    </row>
    <row r="3" spans="1:17" s="1" customFormat="1" ht="97" customHeight="1" x14ac:dyDescent="0.35">
      <c r="A3" s="10">
        <v>2</v>
      </c>
      <c r="B3" s="10" t="s">
        <v>23</v>
      </c>
      <c r="C3" s="36" t="s">
        <v>33</v>
      </c>
      <c r="D3" s="10" t="s">
        <v>34</v>
      </c>
      <c r="E3" s="37" t="s">
        <v>10</v>
      </c>
      <c r="F3" s="37">
        <v>1</v>
      </c>
      <c r="G3" s="38">
        <v>24800000</v>
      </c>
      <c r="H3" s="38">
        <f t="shared" ref="H3:H24" si="1">F3*G3</f>
        <v>24800000</v>
      </c>
      <c r="I3" s="38" t="s">
        <v>20</v>
      </c>
      <c r="K3" s="13">
        <f>20233000/1.1</f>
        <v>18393636.363636363</v>
      </c>
      <c r="L3" s="6">
        <f t="shared" ref="L2:L24" si="2">F3*K3</f>
        <v>18393636.363636363</v>
      </c>
      <c r="M3" s="64">
        <v>0.15</v>
      </c>
      <c r="N3" s="6">
        <f t="shared" ref="N3:N24" si="3">K3/(1-M3)</f>
        <v>21639572.192513369</v>
      </c>
      <c r="O3" s="6">
        <f t="shared" ref="O3:O24" si="4">N3*F3</f>
        <v>21639572.192513369</v>
      </c>
      <c r="P3" s="63">
        <f t="shared" ref="P3:P24" si="5">N3*1.1</f>
        <v>23803529.411764707</v>
      </c>
    </row>
    <row r="4" spans="1:17" s="1" customFormat="1" ht="71.400000000000006" customHeight="1" x14ac:dyDescent="0.35">
      <c r="A4" s="50">
        <v>3</v>
      </c>
      <c r="B4" s="50" t="s">
        <v>12</v>
      </c>
      <c r="C4" s="36" t="s">
        <v>35</v>
      </c>
      <c r="D4" s="10" t="s">
        <v>36</v>
      </c>
      <c r="E4" s="37" t="s">
        <v>10</v>
      </c>
      <c r="F4" s="37">
        <v>1</v>
      </c>
      <c r="G4" s="38">
        <v>23000000</v>
      </c>
      <c r="H4" s="38">
        <f>F4*G4</f>
        <v>23000000</v>
      </c>
      <c r="I4" s="38" t="s">
        <v>20</v>
      </c>
      <c r="K4" s="7">
        <f>17600000/1.1</f>
        <v>15999999.999999998</v>
      </c>
      <c r="L4" s="6">
        <f t="shared" si="2"/>
        <v>15999999.999999998</v>
      </c>
      <c r="M4" s="64">
        <v>0.15</v>
      </c>
      <c r="N4" s="6">
        <f t="shared" si="3"/>
        <v>18823529.411764704</v>
      </c>
      <c r="O4" s="6">
        <f t="shared" si="4"/>
        <v>18823529.411764704</v>
      </c>
      <c r="P4" s="63">
        <f t="shared" si="5"/>
        <v>20705882.352941174</v>
      </c>
    </row>
    <row r="5" spans="1:17" s="1" customFormat="1" ht="26.4" customHeight="1" x14ac:dyDescent="0.35">
      <c r="A5" s="50"/>
      <c r="B5" s="50"/>
      <c r="C5" s="39" t="s">
        <v>37</v>
      </c>
      <c r="D5" s="10" t="s">
        <v>2</v>
      </c>
      <c r="E5" s="10" t="s">
        <v>10</v>
      </c>
      <c r="F5" s="37">
        <v>1</v>
      </c>
      <c r="G5" s="38">
        <v>800000</v>
      </c>
      <c r="H5" s="38">
        <f t="shared" si="1"/>
        <v>800000</v>
      </c>
      <c r="I5" s="38" t="s">
        <v>20</v>
      </c>
      <c r="K5" s="7">
        <f>300000/1.1</f>
        <v>272727.27272727271</v>
      </c>
      <c r="L5" s="6">
        <f t="shared" si="2"/>
        <v>272727.27272727271</v>
      </c>
      <c r="M5" s="64">
        <v>0.1</v>
      </c>
      <c r="N5" s="6">
        <f t="shared" si="3"/>
        <v>303030.30303030298</v>
      </c>
      <c r="O5" s="6">
        <f t="shared" si="4"/>
        <v>303030.30303030298</v>
      </c>
      <c r="P5" s="63">
        <f t="shared" si="5"/>
        <v>333333.33333333331</v>
      </c>
    </row>
    <row r="6" spans="1:17" s="1" customFormat="1" ht="26.4" customHeight="1" x14ac:dyDescent="0.35">
      <c r="A6" s="50"/>
      <c r="B6" s="50"/>
      <c r="C6" s="39" t="s">
        <v>38</v>
      </c>
      <c r="D6" s="10" t="s">
        <v>5</v>
      </c>
      <c r="E6" s="10" t="s">
        <v>10</v>
      </c>
      <c r="F6" s="37">
        <v>1</v>
      </c>
      <c r="G6" s="38">
        <v>100000</v>
      </c>
      <c r="H6" s="38">
        <f t="shared" si="1"/>
        <v>100000</v>
      </c>
      <c r="I6" s="38" t="s">
        <v>20</v>
      </c>
      <c r="K6" s="7">
        <v>0</v>
      </c>
      <c r="L6" s="6">
        <f t="shared" si="2"/>
        <v>0</v>
      </c>
      <c r="M6" s="64">
        <v>0.1</v>
      </c>
      <c r="N6" s="6">
        <f t="shared" si="3"/>
        <v>0</v>
      </c>
      <c r="O6" s="6">
        <f t="shared" si="4"/>
        <v>0</v>
      </c>
      <c r="P6" s="63">
        <f t="shared" si="5"/>
        <v>0</v>
      </c>
    </row>
    <row r="7" spans="1:17" s="1" customFormat="1" x14ac:dyDescent="0.35">
      <c r="A7" s="50">
        <v>4</v>
      </c>
      <c r="B7" s="50" t="s">
        <v>3</v>
      </c>
      <c r="C7" s="40" t="s">
        <v>0</v>
      </c>
      <c r="D7" s="10" t="s">
        <v>5</v>
      </c>
      <c r="E7" s="10" t="s">
        <v>8</v>
      </c>
      <c r="F7" s="37">
        <v>16</v>
      </c>
      <c r="G7" s="38">
        <v>11000</v>
      </c>
      <c r="H7" s="38">
        <f t="shared" si="1"/>
        <v>176000</v>
      </c>
      <c r="I7" s="38" t="s">
        <v>20</v>
      </c>
      <c r="J7" s="41" t="s">
        <v>66</v>
      </c>
      <c r="K7" s="7">
        <v>8800</v>
      </c>
      <c r="L7" s="6">
        <f t="shared" si="2"/>
        <v>140800</v>
      </c>
      <c r="M7" s="64">
        <v>0.1</v>
      </c>
      <c r="N7" s="6">
        <f t="shared" si="3"/>
        <v>9777.7777777777774</v>
      </c>
      <c r="O7" s="6">
        <f t="shared" si="4"/>
        <v>156444.44444444444</v>
      </c>
      <c r="P7" s="63">
        <f t="shared" si="5"/>
        <v>10755.555555555557</v>
      </c>
    </row>
    <row r="8" spans="1:17" s="1" customFormat="1" x14ac:dyDescent="0.35">
      <c r="A8" s="50"/>
      <c r="B8" s="50"/>
      <c r="C8" s="40" t="s">
        <v>13</v>
      </c>
      <c r="D8" s="10" t="s">
        <v>5</v>
      </c>
      <c r="E8" s="10" t="s">
        <v>8</v>
      </c>
      <c r="F8" s="37">
        <v>16</v>
      </c>
      <c r="G8" s="38">
        <v>11000</v>
      </c>
      <c r="H8" s="38">
        <f t="shared" si="1"/>
        <v>176000</v>
      </c>
      <c r="I8" s="38" t="s">
        <v>20</v>
      </c>
      <c r="K8" s="7">
        <v>8800</v>
      </c>
      <c r="L8" s="6">
        <f t="shared" si="2"/>
        <v>140800</v>
      </c>
      <c r="M8" s="64">
        <v>0.1</v>
      </c>
      <c r="N8" s="6">
        <f t="shared" si="3"/>
        <v>9777.7777777777774</v>
      </c>
      <c r="O8" s="6">
        <f t="shared" si="4"/>
        <v>156444.44444444444</v>
      </c>
      <c r="P8" s="63">
        <f t="shared" si="5"/>
        <v>10755.555555555557</v>
      </c>
    </row>
    <row r="9" spans="1:17" s="1" customFormat="1" x14ac:dyDescent="0.35">
      <c r="A9" s="50"/>
      <c r="B9" s="50"/>
      <c r="C9" s="40" t="s">
        <v>40</v>
      </c>
      <c r="D9" s="10" t="s">
        <v>5</v>
      </c>
      <c r="E9" s="10" t="s">
        <v>8</v>
      </c>
      <c r="F9" s="37">
        <v>8</v>
      </c>
      <c r="G9" s="38">
        <v>360000</v>
      </c>
      <c r="H9" s="38">
        <f t="shared" si="1"/>
        <v>2880000</v>
      </c>
      <c r="I9" s="38" t="s">
        <v>20</v>
      </c>
      <c r="J9" s="66">
        <f>14*2*1.2/4.2</f>
        <v>8</v>
      </c>
      <c r="K9" s="7">
        <v>294000</v>
      </c>
      <c r="L9" s="6">
        <f t="shared" si="2"/>
        <v>2352000</v>
      </c>
      <c r="M9" s="64">
        <v>0.1</v>
      </c>
      <c r="N9" s="6">
        <f t="shared" si="3"/>
        <v>326666.66666666669</v>
      </c>
      <c r="O9" s="6">
        <f t="shared" si="4"/>
        <v>2613333.3333333335</v>
      </c>
      <c r="P9" s="63">
        <f t="shared" si="5"/>
        <v>359333.33333333337</v>
      </c>
    </row>
    <row r="10" spans="1:17" s="1" customFormat="1" x14ac:dyDescent="0.35">
      <c r="A10" s="50"/>
      <c r="B10" s="50"/>
      <c r="C10" s="40" t="s">
        <v>25</v>
      </c>
      <c r="D10" s="10" t="s">
        <v>5</v>
      </c>
      <c r="E10" s="10" t="s">
        <v>8</v>
      </c>
      <c r="F10" s="37">
        <v>8</v>
      </c>
      <c r="G10" s="38">
        <v>20000</v>
      </c>
      <c r="H10" s="38">
        <f t="shared" si="1"/>
        <v>160000</v>
      </c>
      <c r="I10" s="38" t="s">
        <v>20</v>
      </c>
      <c r="K10" s="7">
        <v>12800</v>
      </c>
      <c r="L10" s="6">
        <f t="shared" si="2"/>
        <v>102400</v>
      </c>
      <c r="M10" s="64">
        <v>0.1</v>
      </c>
      <c r="N10" s="6">
        <f t="shared" si="3"/>
        <v>14222.222222222223</v>
      </c>
      <c r="O10" s="6">
        <f t="shared" si="4"/>
        <v>113777.77777777778</v>
      </c>
      <c r="P10" s="63">
        <f t="shared" si="5"/>
        <v>15644.444444444445</v>
      </c>
    </row>
    <row r="11" spans="1:17" s="1" customFormat="1" x14ac:dyDescent="0.35">
      <c r="A11" s="50"/>
      <c r="B11" s="50"/>
      <c r="C11" s="40" t="s">
        <v>26</v>
      </c>
      <c r="D11" s="10" t="s">
        <v>5</v>
      </c>
      <c r="E11" s="10" t="s">
        <v>8</v>
      </c>
      <c r="F11" s="37">
        <v>32</v>
      </c>
      <c r="G11" s="38">
        <v>20000</v>
      </c>
      <c r="H11" s="38">
        <f t="shared" si="1"/>
        <v>640000</v>
      </c>
      <c r="I11" s="38" t="s">
        <v>20</v>
      </c>
      <c r="K11" s="7">
        <v>16000</v>
      </c>
      <c r="L11" s="6">
        <f t="shared" si="2"/>
        <v>512000</v>
      </c>
      <c r="M11" s="64">
        <v>0.1</v>
      </c>
      <c r="N11" s="6">
        <f t="shared" si="3"/>
        <v>17777.777777777777</v>
      </c>
      <c r="O11" s="6">
        <f t="shared" si="4"/>
        <v>568888.88888888888</v>
      </c>
      <c r="P11" s="63">
        <f t="shared" si="5"/>
        <v>19555.555555555558</v>
      </c>
    </row>
    <row r="12" spans="1:17" s="1" customFormat="1" x14ac:dyDescent="0.35">
      <c r="A12" s="50"/>
      <c r="B12" s="50"/>
      <c r="C12" s="40" t="s">
        <v>30</v>
      </c>
      <c r="D12" s="10" t="s">
        <v>5</v>
      </c>
      <c r="E12" s="10" t="s">
        <v>8</v>
      </c>
      <c r="F12" s="37">
        <v>4</v>
      </c>
      <c r="G12" s="38">
        <v>20000</v>
      </c>
      <c r="H12" s="38">
        <f t="shared" si="1"/>
        <v>80000</v>
      </c>
      <c r="I12" s="38" t="s">
        <v>20</v>
      </c>
      <c r="K12" s="7">
        <v>12600</v>
      </c>
      <c r="L12" s="6">
        <f t="shared" si="2"/>
        <v>50400</v>
      </c>
      <c r="M12" s="64">
        <v>0.1</v>
      </c>
      <c r="N12" s="6">
        <f t="shared" si="3"/>
        <v>14000</v>
      </c>
      <c r="O12" s="6">
        <f t="shared" si="4"/>
        <v>56000</v>
      </c>
      <c r="P12" s="63">
        <f t="shared" si="5"/>
        <v>15400.000000000002</v>
      </c>
    </row>
    <row r="13" spans="1:17" s="1" customFormat="1" x14ac:dyDescent="0.35">
      <c r="A13" s="50"/>
      <c r="B13" s="50"/>
      <c r="C13" s="40" t="s">
        <v>31</v>
      </c>
      <c r="D13" s="10" t="s">
        <v>5</v>
      </c>
      <c r="E13" s="10" t="s">
        <v>8</v>
      </c>
      <c r="F13" s="37">
        <f>F8</f>
        <v>16</v>
      </c>
      <c r="G13" s="38">
        <v>2000</v>
      </c>
      <c r="H13" s="38">
        <f t="shared" si="1"/>
        <v>32000</v>
      </c>
      <c r="I13" s="38" t="s">
        <v>20</v>
      </c>
      <c r="K13" s="7">
        <v>1500</v>
      </c>
      <c r="L13" s="6">
        <f t="shared" si="2"/>
        <v>24000</v>
      </c>
      <c r="M13" s="64">
        <v>0.1</v>
      </c>
      <c r="N13" s="6">
        <f t="shared" si="3"/>
        <v>1666.6666666666665</v>
      </c>
      <c r="O13" s="6">
        <f t="shared" si="4"/>
        <v>26666.666666666664</v>
      </c>
      <c r="P13" s="63">
        <f t="shared" si="5"/>
        <v>1833.3333333333333</v>
      </c>
    </row>
    <row r="14" spans="1:17" s="1" customFormat="1" ht="33.65" customHeight="1" x14ac:dyDescent="0.35">
      <c r="A14" s="50">
        <v>5</v>
      </c>
      <c r="B14" s="50" t="s">
        <v>4</v>
      </c>
      <c r="C14" s="39" t="s">
        <v>27</v>
      </c>
      <c r="D14" s="10" t="s">
        <v>41</v>
      </c>
      <c r="E14" s="10" t="s">
        <v>17</v>
      </c>
      <c r="F14" s="37">
        <v>80</v>
      </c>
      <c r="G14" s="38">
        <v>18000</v>
      </c>
      <c r="H14" s="38">
        <f t="shared" si="1"/>
        <v>1440000</v>
      </c>
      <c r="I14" s="38" t="s">
        <v>20</v>
      </c>
      <c r="K14" s="7">
        <v>12000</v>
      </c>
      <c r="L14" s="6">
        <f t="shared" si="2"/>
        <v>960000</v>
      </c>
      <c r="M14" s="64">
        <v>0.1</v>
      </c>
      <c r="N14" s="6">
        <f t="shared" si="3"/>
        <v>13333.333333333332</v>
      </c>
      <c r="O14" s="6">
        <f t="shared" si="4"/>
        <v>1066666.6666666665</v>
      </c>
      <c r="P14" s="63">
        <f t="shared" si="5"/>
        <v>14666.666666666666</v>
      </c>
    </row>
    <row r="15" spans="1:17" s="1" customFormat="1" ht="32.4" customHeight="1" x14ac:dyDescent="0.35">
      <c r="A15" s="50"/>
      <c r="B15" s="50"/>
      <c r="C15" s="39" t="s">
        <v>28</v>
      </c>
      <c r="D15" s="10" t="s">
        <v>41</v>
      </c>
      <c r="E15" s="10" t="s">
        <v>17</v>
      </c>
      <c r="F15" s="37">
        <v>80</v>
      </c>
      <c r="G15" s="38">
        <v>18000</v>
      </c>
      <c r="H15" s="38">
        <f t="shared" si="1"/>
        <v>1440000</v>
      </c>
      <c r="I15" s="38" t="s">
        <v>20</v>
      </c>
      <c r="K15" s="7">
        <v>12000</v>
      </c>
      <c r="L15" s="6">
        <f t="shared" si="2"/>
        <v>960000</v>
      </c>
      <c r="M15" s="64">
        <v>0.1</v>
      </c>
      <c r="N15" s="6">
        <f t="shared" si="3"/>
        <v>13333.333333333332</v>
      </c>
      <c r="O15" s="6">
        <f t="shared" si="4"/>
        <v>1066666.6666666665</v>
      </c>
      <c r="P15" s="63">
        <f t="shared" si="5"/>
        <v>14666.666666666666</v>
      </c>
    </row>
    <row r="16" spans="1:17" s="1" customFormat="1" ht="29" x14ac:dyDescent="0.35">
      <c r="A16" s="50"/>
      <c r="B16" s="50"/>
      <c r="C16" s="40" t="s">
        <v>42</v>
      </c>
      <c r="D16" s="10" t="s">
        <v>43</v>
      </c>
      <c r="E16" s="10" t="s">
        <v>17</v>
      </c>
      <c r="F16" s="37">
        <v>20</v>
      </c>
      <c r="G16" s="38">
        <v>40000</v>
      </c>
      <c r="H16" s="38">
        <f t="shared" si="1"/>
        <v>800000</v>
      </c>
      <c r="I16" s="38" t="s">
        <v>20</v>
      </c>
      <c r="K16" s="7">
        <v>40000</v>
      </c>
      <c r="L16" s="6">
        <f t="shared" si="2"/>
        <v>800000</v>
      </c>
      <c r="M16" s="64">
        <v>0.1</v>
      </c>
      <c r="N16" s="6">
        <f t="shared" si="3"/>
        <v>44444.444444444445</v>
      </c>
      <c r="O16" s="6">
        <f t="shared" si="4"/>
        <v>888888.88888888888</v>
      </c>
      <c r="P16" s="63">
        <f t="shared" si="5"/>
        <v>48888.888888888891</v>
      </c>
    </row>
    <row r="17" spans="1:16" s="1" customFormat="1" ht="36" customHeight="1" x14ac:dyDescent="0.35">
      <c r="A17" s="50"/>
      <c r="B17" s="50"/>
      <c r="C17" s="39" t="s">
        <v>67</v>
      </c>
      <c r="D17" s="10" t="s">
        <v>5</v>
      </c>
      <c r="E17" s="10" t="s">
        <v>10</v>
      </c>
      <c r="F17" s="37">
        <v>1</v>
      </c>
      <c r="G17" s="38">
        <v>300000</v>
      </c>
      <c r="H17" s="38">
        <f t="shared" si="1"/>
        <v>300000</v>
      </c>
      <c r="I17" s="38" t="s">
        <v>20</v>
      </c>
      <c r="K17" s="7">
        <v>0</v>
      </c>
      <c r="L17" s="6">
        <f t="shared" si="2"/>
        <v>0</v>
      </c>
      <c r="M17" s="64">
        <v>0.1</v>
      </c>
      <c r="N17" s="6">
        <f t="shared" si="3"/>
        <v>0</v>
      </c>
      <c r="O17" s="6">
        <f t="shared" si="4"/>
        <v>0</v>
      </c>
      <c r="P17" s="63">
        <f t="shared" si="5"/>
        <v>0</v>
      </c>
    </row>
    <row r="18" spans="1:16" s="1" customFormat="1" x14ac:dyDescent="0.35">
      <c r="A18" s="50"/>
      <c r="B18" s="50"/>
      <c r="C18" s="39" t="s">
        <v>16</v>
      </c>
      <c r="D18" s="10" t="s">
        <v>41</v>
      </c>
      <c r="E18" s="10" t="s">
        <v>10</v>
      </c>
      <c r="F18" s="37">
        <v>8</v>
      </c>
      <c r="G18" s="38">
        <v>30000</v>
      </c>
      <c r="H18" s="38">
        <f t="shared" si="1"/>
        <v>240000</v>
      </c>
      <c r="I18" s="38" t="s">
        <v>20</v>
      </c>
      <c r="K18" s="7">
        <v>20000</v>
      </c>
      <c r="L18" s="6">
        <f t="shared" si="2"/>
        <v>160000</v>
      </c>
      <c r="M18" s="64">
        <v>0.1</v>
      </c>
      <c r="N18" s="6">
        <f t="shared" si="3"/>
        <v>22222.222222222223</v>
      </c>
      <c r="O18" s="6">
        <f t="shared" si="4"/>
        <v>177777.77777777778</v>
      </c>
      <c r="P18" s="63">
        <f t="shared" si="5"/>
        <v>24444.444444444445</v>
      </c>
    </row>
    <row r="19" spans="1:16" s="1" customFormat="1" ht="119.4" customHeight="1" x14ac:dyDescent="0.35">
      <c r="A19" s="10">
        <v>6</v>
      </c>
      <c r="B19" s="10" t="s">
        <v>18</v>
      </c>
      <c r="C19" s="39" t="s">
        <v>45</v>
      </c>
      <c r="D19" s="10" t="s">
        <v>2</v>
      </c>
      <c r="E19" s="10" t="s">
        <v>10</v>
      </c>
      <c r="F19" s="37">
        <v>1</v>
      </c>
      <c r="G19" s="38">
        <v>6500000</v>
      </c>
      <c r="H19" s="38">
        <f t="shared" si="1"/>
        <v>6500000</v>
      </c>
      <c r="I19" s="38" t="s">
        <v>46</v>
      </c>
      <c r="K19" s="7">
        <f>4380000/1.1+1500000</f>
        <v>5481818.1818181816</v>
      </c>
      <c r="L19" s="6">
        <f t="shared" si="2"/>
        <v>5481818.1818181816</v>
      </c>
      <c r="M19" s="64">
        <v>0.1</v>
      </c>
      <c r="N19" s="6">
        <f t="shared" si="3"/>
        <v>6090909.0909090908</v>
      </c>
      <c r="O19" s="6">
        <f t="shared" si="4"/>
        <v>6090909.0909090908</v>
      </c>
      <c r="P19" s="63">
        <f t="shared" si="5"/>
        <v>6700000</v>
      </c>
    </row>
    <row r="20" spans="1:16" s="1" customFormat="1" x14ac:dyDescent="0.35">
      <c r="A20" s="50">
        <v>7</v>
      </c>
      <c r="B20" s="52" t="s">
        <v>6</v>
      </c>
      <c r="C20" s="39" t="s">
        <v>47</v>
      </c>
      <c r="D20" s="10" t="s">
        <v>48</v>
      </c>
      <c r="E20" s="10" t="s">
        <v>17</v>
      </c>
      <c r="F20" s="37">
        <v>30</v>
      </c>
      <c r="G20" s="38">
        <v>15000</v>
      </c>
      <c r="H20" s="38">
        <f t="shared" si="1"/>
        <v>450000</v>
      </c>
      <c r="I20" s="38" t="s">
        <v>46</v>
      </c>
      <c r="K20" s="7">
        <v>12000</v>
      </c>
      <c r="L20" s="6">
        <f t="shared" si="2"/>
        <v>360000</v>
      </c>
      <c r="M20" s="64">
        <v>0.1</v>
      </c>
      <c r="N20" s="6">
        <f t="shared" si="3"/>
        <v>13333.333333333332</v>
      </c>
      <c r="O20" s="6">
        <f t="shared" si="4"/>
        <v>399999.99999999994</v>
      </c>
      <c r="P20" s="63">
        <f t="shared" si="5"/>
        <v>14666.666666666666</v>
      </c>
    </row>
    <row r="21" spans="1:16" s="1" customFormat="1" x14ac:dyDescent="0.35">
      <c r="A21" s="50"/>
      <c r="B21" s="52"/>
      <c r="C21" s="39" t="s">
        <v>49</v>
      </c>
      <c r="D21" s="10" t="s">
        <v>5</v>
      </c>
      <c r="E21" s="10" t="s">
        <v>8</v>
      </c>
      <c r="F21" s="37">
        <v>1</v>
      </c>
      <c r="G21" s="38">
        <v>250000</v>
      </c>
      <c r="H21" s="38">
        <f t="shared" si="1"/>
        <v>250000</v>
      </c>
      <c r="I21" s="38" t="s">
        <v>46</v>
      </c>
      <c r="K21" s="7">
        <v>200000</v>
      </c>
      <c r="L21" s="6">
        <f t="shared" si="2"/>
        <v>200000</v>
      </c>
      <c r="M21" s="64">
        <v>0.1</v>
      </c>
      <c r="N21" s="6">
        <f t="shared" si="3"/>
        <v>222222.22222222222</v>
      </c>
      <c r="O21" s="6">
        <f t="shared" si="4"/>
        <v>222222.22222222222</v>
      </c>
      <c r="P21" s="63">
        <f t="shared" si="5"/>
        <v>244444.44444444447</v>
      </c>
    </row>
    <row r="22" spans="1:16" s="1" customFormat="1" x14ac:dyDescent="0.35">
      <c r="A22" s="50"/>
      <c r="B22" s="52"/>
      <c r="C22" s="42" t="s">
        <v>24</v>
      </c>
      <c r="D22" s="10" t="s">
        <v>5</v>
      </c>
      <c r="E22" s="10" t="s">
        <v>17</v>
      </c>
      <c r="F22" s="37">
        <v>30</v>
      </c>
      <c r="G22" s="38">
        <v>15000</v>
      </c>
      <c r="H22" s="38">
        <f t="shared" si="1"/>
        <v>450000</v>
      </c>
      <c r="I22" s="38" t="s">
        <v>46</v>
      </c>
      <c r="K22" s="7">
        <v>12000</v>
      </c>
      <c r="L22" s="6">
        <f t="shared" si="2"/>
        <v>360000</v>
      </c>
      <c r="M22" s="64">
        <v>0.1</v>
      </c>
      <c r="N22" s="6">
        <f t="shared" si="3"/>
        <v>13333.333333333332</v>
      </c>
      <c r="O22" s="6">
        <f t="shared" si="4"/>
        <v>399999.99999999994</v>
      </c>
      <c r="P22" s="63">
        <f t="shared" si="5"/>
        <v>14666.666666666666</v>
      </c>
    </row>
    <row r="23" spans="1:16" s="1" customFormat="1" ht="29" x14ac:dyDescent="0.35">
      <c r="A23" s="50">
        <v>8</v>
      </c>
      <c r="B23" s="50" t="s">
        <v>7</v>
      </c>
      <c r="C23" s="42" t="s">
        <v>29</v>
      </c>
      <c r="D23" s="10" t="s">
        <v>2</v>
      </c>
      <c r="E23" s="10" t="s">
        <v>10</v>
      </c>
      <c r="F23" s="37">
        <v>1</v>
      </c>
      <c r="G23" s="38">
        <v>1000000</v>
      </c>
      <c r="H23" s="38">
        <f t="shared" si="1"/>
        <v>1000000</v>
      </c>
      <c r="I23" s="38"/>
      <c r="K23" s="7">
        <v>1000000</v>
      </c>
      <c r="L23" s="6">
        <f t="shared" si="2"/>
        <v>1000000</v>
      </c>
      <c r="M23" s="64">
        <v>0.1</v>
      </c>
      <c r="N23" s="6">
        <f>K23/(1-M23)</f>
        <v>1111111.111111111</v>
      </c>
      <c r="O23" s="6">
        <f t="shared" si="4"/>
        <v>1111111.111111111</v>
      </c>
      <c r="P23" s="63">
        <f t="shared" si="5"/>
        <v>1222222.2222222222</v>
      </c>
    </row>
    <row r="24" spans="1:16" s="1" customFormat="1" x14ac:dyDescent="0.35">
      <c r="A24" s="50"/>
      <c r="B24" s="51"/>
      <c r="C24" s="40" t="s">
        <v>50</v>
      </c>
      <c r="D24" s="10" t="s">
        <v>2</v>
      </c>
      <c r="E24" s="10" t="s">
        <v>10</v>
      </c>
      <c r="F24" s="37">
        <v>1</v>
      </c>
      <c r="G24" s="38">
        <v>7900000</v>
      </c>
      <c r="H24" s="38">
        <f t="shared" si="1"/>
        <v>7900000</v>
      </c>
      <c r="I24" s="38"/>
      <c r="K24" s="7">
        <f>1000000*8.68+2000000</f>
        <v>10680000</v>
      </c>
      <c r="L24" s="6">
        <f t="shared" si="2"/>
        <v>10680000</v>
      </c>
      <c r="M24" s="64">
        <v>0.1</v>
      </c>
      <c r="N24" s="6">
        <f t="shared" si="3"/>
        <v>11866666.666666666</v>
      </c>
      <c r="O24" s="6">
        <f t="shared" si="4"/>
        <v>11866666.666666666</v>
      </c>
      <c r="P24" s="63">
        <f t="shared" si="5"/>
        <v>13053333.333333334</v>
      </c>
    </row>
    <row r="25" spans="1:16" s="1" customFormat="1" ht="25.75" customHeight="1" x14ac:dyDescent="0.35">
      <c r="A25" s="51" t="s">
        <v>51</v>
      </c>
      <c r="B25" s="51"/>
      <c r="C25" s="51"/>
      <c r="D25" s="51"/>
      <c r="E25" s="51"/>
      <c r="F25" s="43"/>
      <c r="G25" s="43"/>
      <c r="H25" s="44">
        <f>SUM(H2:H24)</f>
        <v>103014000</v>
      </c>
      <c r="I25" s="39"/>
      <c r="K25" s="9" t="s">
        <v>71</v>
      </c>
      <c r="L25" s="57">
        <f>SUM(L2:L24)</f>
        <v>78614141.818181813</v>
      </c>
      <c r="M25" s="57"/>
      <c r="N25" s="57"/>
      <c r="O25" s="57">
        <f>SUM(O2:O24)</f>
        <v>90882196.55377306</v>
      </c>
      <c r="P25" s="57"/>
    </row>
    <row r="26" spans="1:16" ht="27.65" customHeight="1" x14ac:dyDescent="0.5">
      <c r="K26" s="9" t="s">
        <v>72</v>
      </c>
      <c r="L26" s="57">
        <f>L25*1.1</f>
        <v>86475556</v>
      </c>
      <c r="M26" s="57"/>
      <c r="N26" s="57"/>
      <c r="O26" s="57">
        <f>O25*1.1</f>
        <v>99970416.209150374</v>
      </c>
      <c r="P26" s="57"/>
    </row>
  </sheetData>
  <mergeCells count="11">
    <mergeCell ref="A25:E25"/>
    <mergeCell ref="A20:A22"/>
    <mergeCell ref="B20:B22"/>
    <mergeCell ref="A7:A13"/>
    <mergeCell ref="B7:B13"/>
    <mergeCell ref="A14:A18"/>
    <mergeCell ref="B14:B18"/>
    <mergeCell ref="A23:A24"/>
    <mergeCell ref="B23:B24"/>
    <mergeCell ref="A4:A6"/>
    <mergeCell ref="B4:B6"/>
  </mergeCells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EA60-4AFA-49AF-A623-D2D59D1F9DDF}">
  <dimension ref="A1:Q26"/>
  <sheetViews>
    <sheetView zoomScale="80" zoomScaleNormal="80" workbookViewId="0">
      <selection activeCell="F20" sqref="F20:F22"/>
    </sheetView>
  </sheetViews>
  <sheetFormatPr defaultColWidth="15.7265625" defaultRowHeight="21" x14ac:dyDescent="0.5"/>
  <cols>
    <col min="1" max="1" width="4.7265625" style="2" bestFit="1" customWidth="1"/>
    <col min="2" max="2" width="16.36328125" style="3" customWidth="1"/>
    <col min="3" max="3" width="49.81640625" style="2" customWidth="1"/>
    <col min="4" max="4" width="14.453125" style="4" customWidth="1"/>
    <col min="5" max="5" width="11.1796875" style="4" customWidth="1"/>
    <col min="6" max="8" width="16.453125" style="4" customWidth="1"/>
    <col min="9" max="9" width="12.81640625" style="5" customWidth="1"/>
    <col min="10" max="10" width="15.7265625" style="2"/>
    <col min="11" max="11" width="20.1796875" style="5" customWidth="1"/>
    <col min="12" max="12" width="15.6328125" style="5" bestFit="1" customWidth="1"/>
    <col min="13" max="13" width="15.26953125" style="5" customWidth="1"/>
    <col min="14" max="14" width="18.54296875" style="5" customWidth="1"/>
    <col min="15" max="15" width="15.90625" style="5" bestFit="1" customWidth="1"/>
    <col min="16" max="16" width="23.2695312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56</v>
      </c>
      <c r="O1" s="53" t="s">
        <v>57</v>
      </c>
      <c r="P1" s="65" t="s">
        <v>73</v>
      </c>
      <c r="Q1" s="8"/>
    </row>
    <row r="2" spans="1:17" s="1" customFormat="1" ht="91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18</v>
      </c>
      <c r="G2" s="38">
        <v>2100000</v>
      </c>
      <c r="H2" s="38">
        <f>F2*G2</f>
        <v>37800000</v>
      </c>
      <c r="I2" s="38" t="s">
        <v>19</v>
      </c>
      <c r="J2" s="1">
        <f>18*620</f>
        <v>11160</v>
      </c>
      <c r="K2" s="54">
        <f>54*25500*(1+2%)</f>
        <v>1404540</v>
      </c>
      <c r="L2" s="6">
        <f t="shared" ref="L2:L24" si="0">F2*K2</f>
        <v>25281720</v>
      </c>
      <c r="M2" s="64">
        <v>0.15</v>
      </c>
      <c r="N2" s="6">
        <f>K2/(1-M2)</f>
        <v>1652400</v>
      </c>
      <c r="O2" s="6">
        <f>N2*F2</f>
        <v>29743200</v>
      </c>
      <c r="P2" s="63">
        <f>N2*1.1</f>
        <v>1817640.0000000002</v>
      </c>
    </row>
    <row r="3" spans="1:17" s="1" customFormat="1" ht="85" customHeight="1" x14ac:dyDescent="0.35">
      <c r="A3" s="10">
        <v>2</v>
      </c>
      <c r="B3" s="10" t="s">
        <v>23</v>
      </c>
      <c r="C3" s="36" t="s">
        <v>75</v>
      </c>
      <c r="D3" s="10" t="s">
        <v>34</v>
      </c>
      <c r="E3" s="37" t="s">
        <v>10</v>
      </c>
      <c r="F3" s="37">
        <v>1</v>
      </c>
      <c r="G3" s="38">
        <v>39600000</v>
      </c>
      <c r="H3" s="38">
        <f t="shared" ref="H3" si="1">F3*G3</f>
        <v>39600000</v>
      </c>
      <c r="I3" s="38" t="s">
        <v>20</v>
      </c>
      <c r="K3" s="13">
        <f>31128000/1.1</f>
        <v>28298181.818181816</v>
      </c>
      <c r="L3" s="6">
        <f t="shared" si="0"/>
        <v>28298181.818181816</v>
      </c>
      <c r="M3" s="64">
        <v>0.15</v>
      </c>
      <c r="N3" s="6">
        <f t="shared" ref="N3:N24" si="2">K3/(1-M3)</f>
        <v>33291978.609625667</v>
      </c>
      <c r="O3" s="6">
        <f t="shared" ref="O3:O24" si="3">N3*F3</f>
        <v>33291978.609625667</v>
      </c>
      <c r="P3" s="63">
        <f t="shared" ref="P3:P24" si="4">N3*1.1</f>
        <v>36621176.470588237</v>
      </c>
    </row>
    <row r="4" spans="1:17" s="1" customFormat="1" ht="71.400000000000006" customHeight="1" x14ac:dyDescent="0.35">
      <c r="A4" s="50">
        <v>3</v>
      </c>
      <c r="B4" s="50" t="s">
        <v>12</v>
      </c>
      <c r="C4" s="36" t="s">
        <v>35</v>
      </c>
      <c r="D4" s="10" t="s">
        <v>36</v>
      </c>
      <c r="E4" s="37" t="s">
        <v>10</v>
      </c>
      <c r="F4" s="37">
        <v>1</v>
      </c>
      <c r="G4" s="38">
        <v>23000000</v>
      </c>
      <c r="H4" s="38">
        <f>F4*G4</f>
        <v>23000000</v>
      </c>
      <c r="I4" s="38" t="s">
        <v>20</v>
      </c>
      <c r="K4" s="7">
        <f>17600000/1.1</f>
        <v>15999999.999999998</v>
      </c>
      <c r="L4" s="6">
        <f t="shared" si="0"/>
        <v>15999999.999999998</v>
      </c>
      <c r="M4" s="64">
        <v>0.15</v>
      </c>
      <c r="N4" s="6">
        <f t="shared" si="2"/>
        <v>18823529.411764704</v>
      </c>
      <c r="O4" s="6">
        <f t="shared" si="3"/>
        <v>18823529.411764704</v>
      </c>
      <c r="P4" s="63">
        <f t="shared" si="4"/>
        <v>20705882.352941174</v>
      </c>
    </row>
    <row r="5" spans="1:17" s="1" customFormat="1" ht="26.4" customHeight="1" x14ac:dyDescent="0.35">
      <c r="A5" s="50"/>
      <c r="B5" s="50"/>
      <c r="C5" s="39" t="s">
        <v>37</v>
      </c>
      <c r="D5" s="10" t="s">
        <v>2</v>
      </c>
      <c r="E5" s="10" t="s">
        <v>10</v>
      </c>
      <c r="F5" s="37">
        <v>1</v>
      </c>
      <c r="G5" s="38">
        <v>800000</v>
      </c>
      <c r="H5" s="38">
        <f t="shared" ref="H3:H24" si="5">F5*G5</f>
        <v>800000</v>
      </c>
      <c r="I5" s="38" t="s">
        <v>20</v>
      </c>
      <c r="K5" s="7">
        <f>300000/1.1</f>
        <v>272727.27272727271</v>
      </c>
      <c r="L5" s="6">
        <f t="shared" si="0"/>
        <v>272727.27272727271</v>
      </c>
      <c r="M5" s="64">
        <v>0.1</v>
      </c>
      <c r="N5" s="6">
        <f t="shared" si="2"/>
        <v>303030.30303030298</v>
      </c>
      <c r="O5" s="6">
        <f t="shared" si="3"/>
        <v>303030.30303030298</v>
      </c>
      <c r="P5" s="63">
        <f t="shared" si="4"/>
        <v>333333.33333333331</v>
      </c>
    </row>
    <row r="6" spans="1:17" s="1" customFormat="1" ht="26.4" customHeight="1" x14ac:dyDescent="0.35">
      <c r="A6" s="50"/>
      <c r="B6" s="50"/>
      <c r="C6" s="39" t="s">
        <v>38</v>
      </c>
      <c r="D6" s="10" t="s">
        <v>5</v>
      </c>
      <c r="E6" s="10" t="s">
        <v>10</v>
      </c>
      <c r="F6" s="37">
        <v>1</v>
      </c>
      <c r="G6" s="38">
        <v>100000</v>
      </c>
      <c r="H6" s="38">
        <f t="shared" si="5"/>
        <v>100000</v>
      </c>
      <c r="I6" s="38" t="s">
        <v>20</v>
      </c>
      <c r="K6" s="7">
        <v>0</v>
      </c>
      <c r="L6" s="6">
        <f t="shared" si="0"/>
        <v>0</v>
      </c>
      <c r="M6" s="64">
        <v>0.1</v>
      </c>
      <c r="N6" s="6">
        <f t="shared" si="2"/>
        <v>0</v>
      </c>
      <c r="O6" s="6">
        <f t="shared" si="3"/>
        <v>0</v>
      </c>
      <c r="P6" s="63">
        <f t="shared" si="4"/>
        <v>0</v>
      </c>
    </row>
    <row r="7" spans="1:17" s="1" customFormat="1" x14ac:dyDescent="0.35">
      <c r="A7" s="50">
        <v>4</v>
      </c>
      <c r="B7" s="50" t="s">
        <v>3</v>
      </c>
      <c r="C7" s="40" t="s">
        <v>0</v>
      </c>
      <c r="D7" s="10" t="s">
        <v>5</v>
      </c>
      <c r="E7" s="10" t="s">
        <v>8</v>
      </c>
      <c r="F7" s="37">
        <v>20</v>
      </c>
      <c r="G7" s="38">
        <v>11000</v>
      </c>
      <c r="H7" s="38">
        <f t="shared" si="5"/>
        <v>220000</v>
      </c>
      <c r="I7" s="38" t="s">
        <v>20</v>
      </c>
      <c r="J7" s="41" t="s">
        <v>74</v>
      </c>
      <c r="K7" s="7">
        <v>8800</v>
      </c>
      <c r="L7" s="6">
        <f t="shared" si="0"/>
        <v>176000</v>
      </c>
      <c r="M7" s="64">
        <v>0.1</v>
      </c>
      <c r="N7" s="6">
        <f t="shared" si="2"/>
        <v>9777.7777777777774</v>
      </c>
      <c r="O7" s="6">
        <f t="shared" si="3"/>
        <v>195555.55555555556</v>
      </c>
      <c r="P7" s="63">
        <f t="shared" si="4"/>
        <v>10755.555555555557</v>
      </c>
    </row>
    <row r="8" spans="1:17" s="1" customFormat="1" x14ac:dyDescent="0.35">
      <c r="A8" s="50"/>
      <c r="B8" s="50"/>
      <c r="C8" s="40" t="s">
        <v>13</v>
      </c>
      <c r="D8" s="10" t="s">
        <v>5</v>
      </c>
      <c r="E8" s="10" t="s">
        <v>8</v>
      </c>
      <c r="F8" s="37">
        <v>32</v>
      </c>
      <c r="G8" s="38">
        <v>11000</v>
      </c>
      <c r="H8" s="38">
        <f t="shared" si="5"/>
        <v>352000</v>
      </c>
      <c r="I8" s="38" t="s">
        <v>20</v>
      </c>
      <c r="K8" s="7">
        <v>8800</v>
      </c>
      <c r="L8" s="6">
        <f t="shared" si="0"/>
        <v>281600</v>
      </c>
      <c r="M8" s="64">
        <v>0.1</v>
      </c>
      <c r="N8" s="6">
        <f t="shared" si="2"/>
        <v>9777.7777777777774</v>
      </c>
      <c r="O8" s="6">
        <f t="shared" si="3"/>
        <v>312888.88888888888</v>
      </c>
      <c r="P8" s="63">
        <f t="shared" si="4"/>
        <v>10755.555555555557</v>
      </c>
    </row>
    <row r="9" spans="1:17" s="1" customFormat="1" x14ac:dyDescent="0.35">
      <c r="A9" s="50"/>
      <c r="B9" s="50"/>
      <c r="C9" s="40" t="s">
        <v>40</v>
      </c>
      <c r="D9" s="10" t="s">
        <v>5</v>
      </c>
      <c r="E9" s="10" t="s">
        <v>8</v>
      </c>
      <c r="F9" s="37">
        <v>11</v>
      </c>
      <c r="G9" s="38">
        <v>360000</v>
      </c>
      <c r="H9" s="38">
        <f t="shared" si="5"/>
        <v>3960000</v>
      </c>
      <c r="I9" s="38" t="s">
        <v>20</v>
      </c>
      <c r="J9" s="1">
        <f>18*2*1.2/4.2</f>
        <v>10.285714285714285</v>
      </c>
      <c r="K9" s="7">
        <v>294000</v>
      </c>
      <c r="L9" s="6">
        <f t="shared" si="0"/>
        <v>3234000</v>
      </c>
      <c r="M9" s="64">
        <v>0.1</v>
      </c>
      <c r="N9" s="6">
        <f t="shared" si="2"/>
        <v>326666.66666666669</v>
      </c>
      <c r="O9" s="6">
        <f t="shared" si="3"/>
        <v>3593333.3333333335</v>
      </c>
      <c r="P9" s="63">
        <f t="shared" si="4"/>
        <v>359333.33333333337</v>
      </c>
    </row>
    <row r="10" spans="1:17" s="1" customFormat="1" x14ac:dyDescent="0.35">
      <c r="A10" s="50"/>
      <c r="B10" s="50"/>
      <c r="C10" s="40" t="s">
        <v>25</v>
      </c>
      <c r="D10" s="10" t="s">
        <v>5</v>
      </c>
      <c r="E10" s="10" t="s">
        <v>8</v>
      </c>
      <c r="F10" s="37">
        <v>11</v>
      </c>
      <c r="G10" s="38">
        <v>20000</v>
      </c>
      <c r="H10" s="38">
        <f t="shared" si="5"/>
        <v>220000</v>
      </c>
      <c r="I10" s="38" t="s">
        <v>20</v>
      </c>
      <c r="K10" s="7">
        <v>12800</v>
      </c>
      <c r="L10" s="6">
        <f t="shared" si="0"/>
        <v>140800</v>
      </c>
      <c r="M10" s="64">
        <v>0.1</v>
      </c>
      <c r="N10" s="6">
        <f t="shared" si="2"/>
        <v>14222.222222222223</v>
      </c>
      <c r="O10" s="6">
        <f t="shared" si="3"/>
        <v>156444.44444444444</v>
      </c>
      <c r="P10" s="63">
        <f t="shared" si="4"/>
        <v>15644.444444444445</v>
      </c>
    </row>
    <row r="11" spans="1:17" s="1" customFormat="1" x14ac:dyDescent="0.35">
      <c r="A11" s="50"/>
      <c r="B11" s="50"/>
      <c r="C11" s="40" t="s">
        <v>26</v>
      </c>
      <c r="D11" s="10" t="s">
        <v>5</v>
      </c>
      <c r="E11" s="10" t="s">
        <v>8</v>
      </c>
      <c r="F11" s="37">
        <v>66</v>
      </c>
      <c r="G11" s="38">
        <v>20000</v>
      </c>
      <c r="H11" s="38">
        <f t="shared" si="5"/>
        <v>1320000</v>
      </c>
      <c r="I11" s="38" t="s">
        <v>20</v>
      </c>
      <c r="K11" s="7">
        <v>16000</v>
      </c>
      <c r="L11" s="6">
        <f t="shared" si="0"/>
        <v>1056000</v>
      </c>
      <c r="M11" s="64">
        <v>0.1</v>
      </c>
      <c r="N11" s="6">
        <f t="shared" si="2"/>
        <v>17777.777777777777</v>
      </c>
      <c r="O11" s="6">
        <f t="shared" si="3"/>
        <v>1173333.3333333333</v>
      </c>
      <c r="P11" s="63">
        <f t="shared" si="4"/>
        <v>19555.555555555558</v>
      </c>
    </row>
    <row r="12" spans="1:17" s="1" customFormat="1" x14ac:dyDescent="0.35">
      <c r="A12" s="50"/>
      <c r="B12" s="50"/>
      <c r="C12" s="40" t="s">
        <v>30</v>
      </c>
      <c r="D12" s="10" t="s">
        <v>5</v>
      </c>
      <c r="E12" s="10" t="s">
        <v>8</v>
      </c>
      <c r="F12" s="37">
        <v>6</v>
      </c>
      <c r="G12" s="38">
        <v>20000</v>
      </c>
      <c r="H12" s="38">
        <f t="shared" si="5"/>
        <v>120000</v>
      </c>
      <c r="I12" s="38" t="s">
        <v>20</v>
      </c>
      <c r="K12" s="7">
        <v>12600</v>
      </c>
      <c r="L12" s="6">
        <f t="shared" si="0"/>
        <v>75600</v>
      </c>
      <c r="M12" s="64">
        <v>0.1</v>
      </c>
      <c r="N12" s="6">
        <f t="shared" si="2"/>
        <v>14000</v>
      </c>
      <c r="O12" s="6">
        <f t="shared" si="3"/>
        <v>84000</v>
      </c>
      <c r="P12" s="63">
        <f t="shared" si="4"/>
        <v>15400.000000000002</v>
      </c>
    </row>
    <row r="13" spans="1:17" s="1" customFormat="1" x14ac:dyDescent="0.35">
      <c r="A13" s="50"/>
      <c r="B13" s="50"/>
      <c r="C13" s="40" t="s">
        <v>31</v>
      </c>
      <c r="D13" s="10" t="s">
        <v>5</v>
      </c>
      <c r="E13" s="10" t="s">
        <v>8</v>
      </c>
      <c r="F13" s="37">
        <f>F8</f>
        <v>32</v>
      </c>
      <c r="G13" s="38">
        <v>2000</v>
      </c>
      <c r="H13" s="38">
        <f t="shared" si="5"/>
        <v>64000</v>
      </c>
      <c r="I13" s="38" t="s">
        <v>20</v>
      </c>
      <c r="K13" s="7">
        <v>1500</v>
      </c>
      <c r="L13" s="6">
        <f t="shared" si="0"/>
        <v>48000</v>
      </c>
      <c r="M13" s="64">
        <v>0.1</v>
      </c>
      <c r="N13" s="6">
        <f t="shared" si="2"/>
        <v>1666.6666666666665</v>
      </c>
      <c r="O13" s="6">
        <f t="shared" si="3"/>
        <v>53333.333333333328</v>
      </c>
      <c r="P13" s="63">
        <f t="shared" si="4"/>
        <v>1833.3333333333333</v>
      </c>
    </row>
    <row r="14" spans="1:17" s="1" customFormat="1" ht="33.65" customHeight="1" x14ac:dyDescent="0.35">
      <c r="A14" s="50">
        <v>5</v>
      </c>
      <c r="B14" s="50" t="s">
        <v>4</v>
      </c>
      <c r="C14" s="39" t="s">
        <v>27</v>
      </c>
      <c r="D14" s="10" t="s">
        <v>41</v>
      </c>
      <c r="E14" s="10" t="s">
        <v>17</v>
      </c>
      <c r="F14" s="37">
        <v>100</v>
      </c>
      <c r="G14" s="38">
        <v>18000</v>
      </c>
      <c r="H14" s="38">
        <f t="shared" si="5"/>
        <v>1800000</v>
      </c>
      <c r="I14" s="38" t="s">
        <v>20</v>
      </c>
      <c r="K14" s="7">
        <v>12000</v>
      </c>
      <c r="L14" s="6">
        <f t="shared" si="0"/>
        <v>1200000</v>
      </c>
      <c r="M14" s="64">
        <v>0.1</v>
      </c>
      <c r="N14" s="6">
        <f t="shared" si="2"/>
        <v>13333.333333333332</v>
      </c>
      <c r="O14" s="6">
        <f t="shared" si="3"/>
        <v>1333333.3333333333</v>
      </c>
      <c r="P14" s="63">
        <f t="shared" si="4"/>
        <v>14666.666666666666</v>
      </c>
    </row>
    <row r="15" spans="1:17" s="1" customFormat="1" ht="32.4" customHeight="1" x14ac:dyDescent="0.35">
      <c r="A15" s="50"/>
      <c r="B15" s="50"/>
      <c r="C15" s="39" t="s">
        <v>28</v>
      </c>
      <c r="D15" s="10" t="s">
        <v>41</v>
      </c>
      <c r="E15" s="10" t="s">
        <v>17</v>
      </c>
      <c r="F15" s="37">
        <v>100</v>
      </c>
      <c r="G15" s="38">
        <v>18000</v>
      </c>
      <c r="H15" s="38">
        <f t="shared" si="5"/>
        <v>1800000</v>
      </c>
      <c r="I15" s="38" t="s">
        <v>20</v>
      </c>
      <c r="K15" s="7">
        <v>12000</v>
      </c>
      <c r="L15" s="6">
        <f t="shared" si="0"/>
        <v>1200000</v>
      </c>
      <c r="M15" s="64">
        <v>0.1</v>
      </c>
      <c r="N15" s="6">
        <f t="shared" si="2"/>
        <v>13333.333333333332</v>
      </c>
      <c r="O15" s="6">
        <f t="shared" si="3"/>
        <v>1333333.3333333333</v>
      </c>
      <c r="P15" s="63">
        <f t="shared" si="4"/>
        <v>14666.666666666666</v>
      </c>
    </row>
    <row r="16" spans="1:17" s="1" customFormat="1" ht="29" x14ac:dyDescent="0.35">
      <c r="A16" s="50"/>
      <c r="B16" s="50"/>
      <c r="C16" s="40" t="s">
        <v>104</v>
      </c>
      <c r="D16" s="10" t="s">
        <v>43</v>
      </c>
      <c r="E16" s="10" t="s">
        <v>17</v>
      </c>
      <c r="F16" s="37">
        <v>20</v>
      </c>
      <c r="G16" s="38">
        <v>80000</v>
      </c>
      <c r="H16" s="38">
        <f t="shared" si="5"/>
        <v>1600000</v>
      </c>
      <c r="I16" s="38" t="s">
        <v>20</v>
      </c>
      <c r="K16" s="7">
        <v>65000</v>
      </c>
      <c r="L16" s="6">
        <f t="shared" si="0"/>
        <v>1300000</v>
      </c>
      <c r="M16" s="64">
        <v>0.1</v>
      </c>
      <c r="N16" s="6">
        <f t="shared" si="2"/>
        <v>72222.222222222219</v>
      </c>
      <c r="O16" s="6">
        <f t="shared" si="3"/>
        <v>1444444.4444444445</v>
      </c>
      <c r="P16" s="63">
        <f t="shared" si="4"/>
        <v>79444.444444444453</v>
      </c>
    </row>
    <row r="17" spans="1:16" s="1" customFormat="1" ht="36" customHeight="1" x14ac:dyDescent="0.35">
      <c r="A17" s="50"/>
      <c r="B17" s="50"/>
      <c r="C17" s="39" t="s">
        <v>67</v>
      </c>
      <c r="D17" s="10" t="s">
        <v>5</v>
      </c>
      <c r="E17" s="10" t="s">
        <v>10</v>
      </c>
      <c r="F17" s="37">
        <v>1</v>
      </c>
      <c r="G17" s="38">
        <v>300000</v>
      </c>
      <c r="H17" s="38">
        <f t="shared" si="5"/>
        <v>300000</v>
      </c>
      <c r="I17" s="38" t="s">
        <v>20</v>
      </c>
      <c r="K17" s="7">
        <v>0</v>
      </c>
      <c r="L17" s="6">
        <f t="shared" si="0"/>
        <v>0</v>
      </c>
      <c r="M17" s="64">
        <v>0.1</v>
      </c>
      <c r="N17" s="6">
        <f t="shared" si="2"/>
        <v>0</v>
      </c>
      <c r="O17" s="6">
        <f t="shared" si="3"/>
        <v>0</v>
      </c>
      <c r="P17" s="63">
        <f t="shared" si="4"/>
        <v>0</v>
      </c>
    </row>
    <row r="18" spans="1:16" s="1" customFormat="1" ht="26" customHeight="1" x14ac:dyDescent="0.35">
      <c r="A18" s="50"/>
      <c r="B18" s="50"/>
      <c r="C18" s="39" t="s">
        <v>16</v>
      </c>
      <c r="D18" s="10" t="s">
        <v>41</v>
      </c>
      <c r="E18" s="10" t="s">
        <v>10</v>
      </c>
      <c r="F18" s="37">
        <v>10</v>
      </c>
      <c r="G18" s="38">
        <v>30000</v>
      </c>
      <c r="H18" s="38">
        <f t="shared" si="5"/>
        <v>300000</v>
      </c>
      <c r="I18" s="38" t="s">
        <v>20</v>
      </c>
      <c r="K18" s="7">
        <v>20000</v>
      </c>
      <c r="L18" s="6">
        <f t="shared" si="0"/>
        <v>200000</v>
      </c>
      <c r="M18" s="64">
        <v>0.1</v>
      </c>
      <c r="N18" s="6">
        <f t="shared" si="2"/>
        <v>22222.222222222223</v>
      </c>
      <c r="O18" s="6">
        <f t="shared" si="3"/>
        <v>222222.22222222222</v>
      </c>
      <c r="P18" s="63">
        <f t="shared" si="4"/>
        <v>24444.444444444445</v>
      </c>
    </row>
    <row r="19" spans="1:16" s="1" customFormat="1" ht="128.5" customHeight="1" x14ac:dyDescent="0.35">
      <c r="A19" s="10">
        <v>6</v>
      </c>
      <c r="B19" s="10" t="s">
        <v>18</v>
      </c>
      <c r="C19" s="39" t="s">
        <v>82</v>
      </c>
      <c r="D19" s="10" t="s">
        <v>2</v>
      </c>
      <c r="E19" s="10" t="s">
        <v>10</v>
      </c>
      <c r="F19" s="37">
        <v>1</v>
      </c>
      <c r="G19" s="38">
        <v>6500000</v>
      </c>
      <c r="H19" s="38">
        <f t="shared" si="5"/>
        <v>6500000</v>
      </c>
      <c r="I19" s="38" t="s">
        <v>46</v>
      </c>
      <c r="K19" s="7">
        <f>4380000/1.1+1500000</f>
        <v>5481818.1818181816</v>
      </c>
      <c r="L19" s="6">
        <f t="shared" si="0"/>
        <v>5481818.1818181816</v>
      </c>
      <c r="M19" s="64">
        <v>0.1</v>
      </c>
      <c r="N19" s="6">
        <f t="shared" si="2"/>
        <v>6090909.0909090908</v>
      </c>
      <c r="O19" s="6">
        <f t="shared" si="3"/>
        <v>6090909.0909090908</v>
      </c>
      <c r="P19" s="63">
        <f t="shared" si="4"/>
        <v>6700000</v>
      </c>
    </row>
    <row r="20" spans="1:16" s="1" customFormat="1" x14ac:dyDescent="0.35">
      <c r="A20" s="50">
        <v>7</v>
      </c>
      <c r="B20" s="52" t="s">
        <v>6</v>
      </c>
      <c r="C20" s="39" t="s">
        <v>47</v>
      </c>
      <c r="D20" s="10" t="s">
        <v>48</v>
      </c>
      <c r="E20" s="10" t="s">
        <v>17</v>
      </c>
      <c r="F20" s="37">
        <v>60</v>
      </c>
      <c r="G20" s="38">
        <v>15000</v>
      </c>
      <c r="H20" s="38">
        <f t="shared" si="5"/>
        <v>900000</v>
      </c>
      <c r="I20" s="38" t="s">
        <v>46</v>
      </c>
      <c r="K20" s="7">
        <v>12000</v>
      </c>
      <c r="L20" s="6">
        <f t="shared" si="0"/>
        <v>720000</v>
      </c>
      <c r="M20" s="64">
        <v>0.1</v>
      </c>
      <c r="N20" s="6">
        <f t="shared" si="2"/>
        <v>13333.333333333332</v>
      </c>
      <c r="O20" s="6">
        <f t="shared" si="3"/>
        <v>799999.99999999988</v>
      </c>
      <c r="P20" s="63">
        <f t="shared" si="4"/>
        <v>14666.666666666666</v>
      </c>
    </row>
    <row r="21" spans="1:16" s="1" customFormat="1" x14ac:dyDescent="0.35">
      <c r="A21" s="50"/>
      <c r="B21" s="52"/>
      <c r="C21" s="39" t="s">
        <v>49</v>
      </c>
      <c r="D21" s="10" t="s">
        <v>5</v>
      </c>
      <c r="E21" s="10" t="s">
        <v>8</v>
      </c>
      <c r="F21" s="37">
        <v>2</v>
      </c>
      <c r="G21" s="38">
        <v>250000</v>
      </c>
      <c r="H21" s="38">
        <f t="shared" si="5"/>
        <v>500000</v>
      </c>
      <c r="I21" s="38" t="s">
        <v>46</v>
      </c>
      <c r="K21" s="7">
        <v>200000</v>
      </c>
      <c r="L21" s="6">
        <f t="shared" si="0"/>
        <v>400000</v>
      </c>
      <c r="M21" s="64">
        <v>0.1</v>
      </c>
      <c r="N21" s="6">
        <f t="shared" si="2"/>
        <v>222222.22222222222</v>
      </c>
      <c r="O21" s="6">
        <f t="shared" si="3"/>
        <v>444444.44444444444</v>
      </c>
      <c r="P21" s="63">
        <f t="shared" si="4"/>
        <v>244444.44444444447</v>
      </c>
    </row>
    <row r="22" spans="1:16" s="1" customFormat="1" x14ac:dyDescent="0.35">
      <c r="A22" s="50"/>
      <c r="B22" s="52"/>
      <c r="C22" s="42" t="s">
        <v>24</v>
      </c>
      <c r="D22" s="10" t="s">
        <v>5</v>
      </c>
      <c r="E22" s="10" t="s">
        <v>17</v>
      </c>
      <c r="F22" s="37">
        <v>60</v>
      </c>
      <c r="G22" s="38">
        <v>15000</v>
      </c>
      <c r="H22" s="38">
        <f t="shared" si="5"/>
        <v>900000</v>
      </c>
      <c r="I22" s="38" t="s">
        <v>46</v>
      </c>
      <c r="K22" s="7">
        <v>12000</v>
      </c>
      <c r="L22" s="6">
        <f t="shared" si="0"/>
        <v>720000</v>
      </c>
      <c r="M22" s="64">
        <v>0.1</v>
      </c>
      <c r="N22" s="6">
        <f t="shared" si="2"/>
        <v>13333.333333333332</v>
      </c>
      <c r="O22" s="6">
        <f t="shared" si="3"/>
        <v>799999.99999999988</v>
      </c>
      <c r="P22" s="63">
        <f t="shared" si="4"/>
        <v>14666.666666666666</v>
      </c>
    </row>
    <row r="23" spans="1:16" s="1" customFormat="1" ht="29" x14ac:dyDescent="0.35">
      <c r="A23" s="50">
        <v>8</v>
      </c>
      <c r="B23" s="50" t="s">
        <v>7</v>
      </c>
      <c r="C23" s="42" t="s">
        <v>29</v>
      </c>
      <c r="D23" s="10" t="s">
        <v>2</v>
      </c>
      <c r="E23" s="10" t="s">
        <v>10</v>
      </c>
      <c r="F23" s="37">
        <v>1</v>
      </c>
      <c r="G23" s="38">
        <v>1000000</v>
      </c>
      <c r="H23" s="38">
        <f t="shared" si="5"/>
        <v>1000000</v>
      </c>
      <c r="I23" s="38"/>
      <c r="K23" s="7">
        <v>1000000</v>
      </c>
      <c r="L23" s="6">
        <f t="shared" si="0"/>
        <v>1000000</v>
      </c>
      <c r="M23" s="64">
        <v>0.1</v>
      </c>
      <c r="N23" s="6">
        <f>K23/(1-M23)</f>
        <v>1111111.111111111</v>
      </c>
      <c r="O23" s="6">
        <f t="shared" si="3"/>
        <v>1111111.111111111</v>
      </c>
      <c r="P23" s="63">
        <f t="shared" si="4"/>
        <v>1222222.2222222222</v>
      </c>
    </row>
    <row r="24" spans="1:16" s="1" customFormat="1" x14ac:dyDescent="0.35">
      <c r="A24" s="50"/>
      <c r="B24" s="51"/>
      <c r="C24" s="40" t="s">
        <v>50</v>
      </c>
      <c r="D24" s="10" t="s">
        <v>2</v>
      </c>
      <c r="E24" s="10" t="s">
        <v>10</v>
      </c>
      <c r="F24" s="37">
        <v>1</v>
      </c>
      <c r="G24" s="38">
        <v>9600000</v>
      </c>
      <c r="H24" s="38">
        <f t="shared" si="5"/>
        <v>9600000</v>
      </c>
      <c r="I24" s="38"/>
      <c r="K24" s="7">
        <f>1000000*11.16+2000000</f>
        <v>13160000</v>
      </c>
      <c r="L24" s="6">
        <f t="shared" si="0"/>
        <v>13160000</v>
      </c>
      <c r="M24" s="64">
        <v>0.1</v>
      </c>
      <c r="N24" s="6">
        <f t="shared" si="2"/>
        <v>14622222.222222222</v>
      </c>
      <c r="O24" s="6">
        <f t="shared" si="3"/>
        <v>14622222.222222222</v>
      </c>
      <c r="P24" s="63">
        <f t="shared" si="4"/>
        <v>16084444.444444446</v>
      </c>
    </row>
    <row r="25" spans="1:16" s="1" customFormat="1" ht="25.75" customHeight="1" x14ac:dyDescent="0.35">
      <c r="A25" s="51" t="s">
        <v>51</v>
      </c>
      <c r="B25" s="51"/>
      <c r="C25" s="51"/>
      <c r="D25" s="51"/>
      <c r="E25" s="51"/>
      <c r="F25" s="43"/>
      <c r="G25" s="43"/>
      <c r="H25" s="44">
        <f>SUM(H2:H24)</f>
        <v>132756000</v>
      </c>
      <c r="I25" s="39"/>
      <c r="K25" s="9" t="s">
        <v>71</v>
      </c>
      <c r="L25" s="57">
        <f>SUM(L2:L24)</f>
        <v>100246447.27272727</v>
      </c>
      <c r="M25" s="57"/>
      <c r="N25" s="57"/>
      <c r="O25" s="57">
        <f>SUM(O2:O24)</f>
        <v>115932647.41532975</v>
      </c>
      <c r="P25" s="57"/>
    </row>
    <row r="26" spans="1:16" ht="27.65" customHeight="1" x14ac:dyDescent="0.5">
      <c r="K26" s="9" t="s">
        <v>72</v>
      </c>
      <c r="L26" s="57">
        <f>L25*1.1</f>
        <v>110271092</v>
      </c>
      <c r="M26" s="57"/>
      <c r="N26" s="57"/>
      <c r="O26" s="57">
        <f>O25*1.1</f>
        <v>127525912.15686274</v>
      </c>
      <c r="P26" s="57"/>
    </row>
  </sheetData>
  <mergeCells count="11">
    <mergeCell ref="A25:E25"/>
    <mergeCell ref="A20:A22"/>
    <mergeCell ref="B20:B22"/>
    <mergeCell ref="A7:A13"/>
    <mergeCell ref="B7:B13"/>
    <mergeCell ref="A14:A18"/>
    <mergeCell ref="B14:B18"/>
    <mergeCell ref="A23:A24"/>
    <mergeCell ref="B23:B24"/>
    <mergeCell ref="A4:A6"/>
    <mergeCell ref="B4:B6"/>
  </mergeCells>
  <phoneticPr fontId="1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AEBB-37EC-42A8-91C0-234157D44CCB}">
  <dimension ref="A1:Q26"/>
  <sheetViews>
    <sheetView zoomScale="80" zoomScaleNormal="80" workbookViewId="0">
      <selection activeCell="F20" sqref="F20"/>
    </sheetView>
  </sheetViews>
  <sheetFormatPr defaultColWidth="15.7265625" defaultRowHeight="21" x14ac:dyDescent="0.5"/>
  <cols>
    <col min="1" max="1" width="4.7265625" style="2" bestFit="1" customWidth="1"/>
    <col min="2" max="2" width="16.36328125" style="3" customWidth="1"/>
    <col min="3" max="3" width="49.81640625" style="2" customWidth="1"/>
    <col min="4" max="4" width="14.453125" style="4" customWidth="1"/>
    <col min="5" max="5" width="11.1796875" style="4" customWidth="1"/>
    <col min="6" max="8" width="16.453125" style="4" customWidth="1"/>
    <col min="9" max="9" width="12.81640625" style="5" customWidth="1"/>
    <col min="10" max="10" width="15.7265625" style="2"/>
    <col min="11" max="11" width="20.1796875" style="5" customWidth="1"/>
    <col min="12" max="12" width="15.6328125" style="5" bestFit="1" customWidth="1"/>
    <col min="13" max="13" width="15.26953125" style="5" customWidth="1"/>
    <col min="14" max="14" width="18.54296875" style="5" customWidth="1"/>
    <col min="15" max="15" width="15.90625" style="5" bestFit="1" customWidth="1"/>
    <col min="16" max="16" width="23.2695312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56</v>
      </c>
      <c r="O1" s="53" t="s">
        <v>57</v>
      </c>
      <c r="P1" s="65" t="s">
        <v>73</v>
      </c>
      <c r="Q1" s="8"/>
    </row>
    <row r="2" spans="1:17" s="1" customFormat="1" ht="91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24</v>
      </c>
      <c r="G2" s="38">
        <v>2100000</v>
      </c>
      <c r="H2" s="38">
        <f>F2*G2</f>
        <v>50400000</v>
      </c>
      <c r="I2" s="38" t="s">
        <v>19</v>
      </c>
      <c r="J2" s="1">
        <f>24*620</f>
        <v>14880</v>
      </c>
      <c r="K2" s="54">
        <f>54*25500*(1+2%)</f>
        <v>1404540</v>
      </c>
      <c r="L2" s="6">
        <f t="shared" ref="L2:L24" si="0">F2*K2</f>
        <v>33708960</v>
      </c>
      <c r="M2" s="64">
        <v>0.15</v>
      </c>
      <c r="N2" s="6">
        <f>K2/(1-M2)</f>
        <v>1652400</v>
      </c>
      <c r="O2" s="6">
        <f>N2*F2</f>
        <v>39657600</v>
      </c>
      <c r="P2" s="63">
        <f>N2*1.1</f>
        <v>1817640.0000000002</v>
      </c>
    </row>
    <row r="3" spans="1:17" s="1" customFormat="1" ht="76" customHeight="1" x14ac:dyDescent="0.35">
      <c r="A3" s="10">
        <v>2</v>
      </c>
      <c r="B3" s="10" t="s">
        <v>23</v>
      </c>
      <c r="C3" s="36" t="s">
        <v>75</v>
      </c>
      <c r="D3" s="10" t="s">
        <v>34</v>
      </c>
      <c r="E3" s="37" t="s">
        <v>10</v>
      </c>
      <c r="F3" s="37">
        <v>1</v>
      </c>
      <c r="G3" s="38">
        <v>39600000</v>
      </c>
      <c r="H3" s="38">
        <f t="shared" ref="H3" si="1">F3*G3</f>
        <v>39600000</v>
      </c>
      <c r="I3" s="38" t="s">
        <v>20</v>
      </c>
      <c r="K3" s="13">
        <f>31128000/1.1</f>
        <v>28298181.818181816</v>
      </c>
      <c r="L3" s="6">
        <f t="shared" si="0"/>
        <v>28298181.818181816</v>
      </c>
      <c r="M3" s="64">
        <v>0.15</v>
      </c>
      <c r="N3" s="6">
        <f t="shared" ref="N3:N24" si="2">K3/(1-M3)</f>
        <v>33291978.609625667</v>
      </c>
      <c r="O3" s="6">
        <f t="shared" ref="O3:O24" si="3">N3*F3</f>
        <v>33291978.609625667</v>
      </c>
      <c r="P3" s="63">
        <f t="shared" ref="P3:P24" si="4">N3*1.1</f>
        <v>36621176.470588237</v>
      </c>
    </row>
    <row r="4" spans="1:17" s="1" customFormat="1" ht="86.5" customHeight="1" x14ac:dyDescent="0.35">
      <c r="A4" s="50">
        <v>3</v>
      </c>
      <c r="B4" s="50" t="s">
        <v>12</v>
      </c>
      <c r="C4" s="36" t="s">
        <v>76</v>
      </c>
      <c r="D4" s="10" t="s">
        <v>36</v>
      </c>
      <c r="E4" s="37" t="s">
        <v>10</v>
      </c>
      <c r="F4" s="37">
        <v>1</v>
      </c>
      <c r="G4" s="38">
        <v>60000000</v>
      </c>
      <c r="H4" s="38">
        <f>F4*G4</f>
        <v>60000000</v>
      </c>
      <c r="I4" s="38" t="s">
        <v>20</v>
      </c>
      <c r="K4" s="13">
        <f>47470000/1.1</f>
        <v>43154545.454545453</v>
      </c>
      <c r="L4" s="6">
        <f t="shared" si="0"/>
        <v>43154545.454545453</v>
      </c>
      <c r="M4" s="64">
        <v>0.15</v>
      </c>
      <c r="N4" s="6">
        <f t="shared" si="2"/>
        <v>50770053.475935832</v>
      </c>
      <c r="O4" s="6">
        <f t="shared" si="3"/>
        <v>50770053.475935832</v>
      </c>
      <c r="P4" s="63">
        <f t="shared" si="4"/>
        <v>55847058.823529422</v>
      </c>
    </row>
    <row r="5" spans="1:17" s="1" customFormat="1" ht="30.5" customHeight="1" x14ac:dyDescent="0.35">
      <c r="A5" s="50"/>
      <c r="B5" s="50"/>
      <c r="C5" s="39" t="s">
        <v>37</v>
      </c>
      <c r="D5" s="10" t="s">
        <v>2</v>
      </c>
      <c r="E5" s="10" t="s">
        <v>10</v>
      </c>
      <c r="F5" s="37">
        <v>1</v>
      </c>
      <c r="G5" s="38">
        <v>800000</v>
      </c>
      <c r="H5" s="38">
        <f t="shared" ref="H5:H26" si="5">F5*G5</f>
        <v>800000</v>
      </c>
      <c r="I5" s="38" t="s">
        <v>20</v>
      </c>
      <c r="K5" s="7">
        <f>300000/1.1</f>
        <v>272727.27272727271</v>
      </c>
      <c r="L5" s="6">
        <f t="shared" si="0"/>
        <v>272727.27272727271</v>
      </c>
      <c r="M5" s="64">
        <v>0.1</v>
      </c>
      <c r="N5" s="6">
        <f t="shared" si="2"/>
        <v>303030.30303030298</v>
      </c>
      <c r="O5" s="6">
        <f t="shared" si="3"/>
        <v>303030.30303030298</v>
      </c>
      <c r="P5" s="63">
        <f t="shared" si="4"/>
        <v>333333.33333333331</v>
      </c>
    </row>
    <row r="6" spans="1:17" s="1" customFormat="1" ht="26.4" customHeight="1" x14ac:dyDescent="0.35">
      <c r="A6" s="50"/>
      <c r="B6" s="50"/>
      <c r="C6" s="39" t="s">
        <v>38</v>
      </c>
      <c r="D6" s="10" t="s">
        <v>5</v>
      </c>
      <c r="E6" s="10" t="s">
        <v>10</v>
      </c>
      <c r="F6" s="37">
        <v>1</v>
      </c>
      <c r="G6" s="38">
        <v>100000</v>
      </c>
      <c r="H6" s="38">
        <f t="shared" si="5"/>
        <v>100000</v>
      </c>
      <c r="I6" s="38" t="s">
        <v>20</v>
      </c>
      <c r="K6" s="7">
        <v>0</v>
      </c>
      <c r="L6" s="6">
        <f t="shared" si="0"/>
        <v>0</v>
      </c>
      <c r="M6" s="64">
        <v>0.1</v>
      </c>
      <c r="N6" s="6">
        <f t="shared" si="2"/>
        <v>0</v>
      </c>
      <c r="O6" s="6">
        <f t="shared" si="3"/>
        <v>0</v>
      </c>
      <c r="P6" s="63">
        <f t="shared" si="4"/>
        <v>0</v>
      </c>
    </row>
    <row r="7" spans="1:17" s="1" customFormat="1" x14ac:dyDescent="0.35">
      <c r="A7" s="50">
        <v>4</v>
      </c>
      <c r="B7" s="50" t="s">
        <v>3</v>
      </c>
      <c r="C7" s="40" t="s">
        <v>0</v>
      </c>
      <c r="D7" s="10" t="s">
        <v>5</v>
      </c>
      <c r="E7" s="10" t="s">
        <v>8</v>
      </c>
      <c r="F7" s="37">
        <v>24</v>
      </c>
      <c r="G7" s="38">
        <v>11000</v>
      </c>
      <c r="H7" s="38">
        <f t="shared" si="5"/>
        <v>264000</v>
      </c>
      <c r="I7" s="38" t="s">
        <v>20</v>
      </c>
      <c r="J7" s="41" t="s">
        <v>78</v>
      </c>
      <c r="K7" s="7">
        <v>8800</v>
      </c>
      <c r="L7" s="6">
        <f t="shared" si="0"/>
        <v>211200</v>
      </c>
      <c r="M7" s="64">
        <v>0.1</v>
      </c>
      <c r="N7" s="6">
        <f t="shared" si="2"/>
        <v>9777.7777777777774</v>
      </c>
      <c r="O7" s="6">
        <f t="shared" si="3"/>
        <v>234666.66666666666</v>
      </c>
      <c r="P7" s="63">
        <f t="shared" si="4"/>
        <v>10755.555555555557</v>
      </c>
    </row>
    <row r="8" spans="1:17" s="1" customFormat="1" x14ac:dyDescent="0.35">
      <c r="A8" s="50"/>
      <c r="B8" s="50"/>
      <c r="C8" s="40" t="s">
        <v>13</v>
      </c>
      <c r="D8" s="10" t="s">
        <v>5</v>
      </c>
      <c r="E8" s="10" t="s">
        <v>8</v>
      </c>
      <c r="F8" s="37">
        <v>40</v>
      </c>
      <c r="G8" s="38">
        <v>11000</v>
      </c>
      <c r="H8" s="38">
        <f t="shared" si="5"/>
        <v>440000</v>
      </c>
      <c r="I8" s="38" t="s">
        <v>20</v>
      </c>
      <c r="K8" s="7">
        <v>8800</v>
      </c>
      <c r="L8" s="6">
        <f t="shared" si="0"/>
        <v>352000</v>
      </c>
      <c r="M8" s="64">
        <v>0.1</v>
      </c>
      <c r="N8" s="6">
        <f t="shared" si="2"/>
        <v>9777.7777777777774</v>
      </c>
      <c r="O8" s="6">
        <f t="shared" si="3"/>
        <v>391111.11111111112</v>
      </c>
      <c r="P8" s="63">
        <f t="shared" si="4"/>
        <v>10755.555555555557</v>
      </c>
    </row>
    <row r="9" spans="1:17" s="1" customFormat="1" x14ac:dyDescent="0.35">
      <c r="A9" s="50"/>
      <c r="B9" s="50"/>
      <c r="C9" s="40" t="s">
        <v>40</v>
      </c>
      <c r="D9" s="10" t="s">
        <v>5</v>
      </c>
      <c r="E9" s="10" t="s">
        <v>8</v>
      </c>
      <c r="F9" s="37">
        <v>14</v>
      </c>
      <c r="G9" s="38">
        <v>360000</v>
      </c>
      <c r="H9" s="38">
        <f t="shared" si="5"/>
        <v>5040000</v>
      </c>
      <c r="I9" s="38" t="s">
        <v>20</v>
      </c>
      <c r="J9" s="1">
        <f>24*2*1.2/4.2</f>
        <v>13.714285714285712</v>
      </c>
      <c r="K9" s="7">
        <v>294000</v>
      </c>
      <c r="L9" s="6">
        <f t="shared" si="0"/>
        <v>4116000</v>
      </c>
      <c r="M9" s="64">
        <v>0.1</v>
      </c>
      <c r="N9" s="6">
        <f t="shared" si="2"/>
        <v>326666.66666666669</v>
      </c>
      <c r="O9" s="6">
        <f t="shared" si="3"/>
        <v>4573333.333333334</v>
      </c>
      <c r="P9" s="63">
        <f t="shared" si="4"/>
        <v>359333.33333333337</v>
      </c>
    </row>
    <row r="10" spans="1:17" s="1" customFormat="1" x14ac:dyDescent="0.35">
      <c r="A10" s="50"/>
      <c r="B10" s="50"/>
      <c r="C10" s="40" t="s">
        <v>25</v>
      </c>
      <c r="D10" s="10" t="s">
        <v>5</v>
      </c>
      <c r="E10" s="10" t="s">
        <v>8</v>
      </c>
      <c r="F10" s="37">
        <v>14</v>
      </c>
      <c r="G10" s="38">
        <v>20000</v>
      </c>
      <c r="H10" s="38">
        <f t="shared" si="5"/>
        <v>280000</v>
      </c>
      <c r="I10" s="38" t="s">
        <v>20</v>
      </c>
      <c r="K10" s="7">
        <v>12800</v>
      </c>
      <c r="L10" s="6">
        <f t="shared" si="0"/>
        <v>179200</v>
      </c>
      <c r="M10" s="64">
        <v>0.1</v>
      </c>
      <c r="N10" s="6">
        <f t="shared" si="2"/>
        <v>14222.222222222223</v>
      </c>
      <c r="O10" s="6">
        <f t="shared" si="3"/>
        <v>199111.11111111112</v>
      </c>
      <c r="P10" s="63">
        <f t="shared" si="4"/>
        <v>15644.444444444445</v>
      </c>
    </row>
    <row r="11" spans="1:17" s="1" customFormat="1" x14ac:dyDescent="0.35">
      <c r="A11" s="50"/>
      <c r="B11" s="50"/>
      <c r="C11" s="40" t="s">
        <v>26</v>
      </c>
      <c r="D11" s="10" t="s">
        <v>5</v>
      </c>
      <c r="E11" s="10" t="s">
        <v>8</v>
      </c>
      <c r="F11" s="37">
        <v>86</v>
      </c>
      <c r="G11" s="38">
        <v>20000</v>
      </c>
      <c r="H11" s="38">
        <f t="shared" si="5"/>
        <v>1720000</v>
      </c>
      <c r="I11" s="38" t="s">
        <v>20</v>
      </c>
      <c r="K11" s="7">
        <v>16000</v>
      </c>
      <c r="L11" s="6">
        <f t="shared" si="0"/>
        <v>1376000</v>
      </c>
      <c r="M11" s="64">
        <v>0.1</v>
      </c>
      <c r="N11" s="6">
        <f t="shared" si="2"/>
        <v>17777.777777777777</v>
      </c>
      <c r="O11" s="6">
        <f t="shared" si="3"/>
        <v>1528888.8888888888</v>
      </c>
      <c r="P11" s="63">
        <f t="shared" si="4"/>
        <v>19555.555555555558</v>
      </c>
    </row>
    <row r="12" spans="1:17" s="1" customFormat="1" x14ac:dyDescent="0.35">
      <c r="A12" s="50"/>
      <c r="B12" s="50"/>
      <c r="C12" s="40" t="s">
        <v>30</v>
      </c>
      <c r="D12" s="10" t="s">
        <v>5</v>
      </c>
      <c r="E12" s="10" t="s">
        <v>8</v>
      </c>
      <c r="F12" s="37">
        <v>8</v>
      </c>
      <c r="G12" s="38">
        <v>20000</v>
      </c>
      <c r="H12" s="38">
        <f t="shared" si="5"/>
        <v>160000</v>
      </c>
      <c r="I12" s="38" t="s">
        <v>20</v>
      </c>
      <c r="K12" s="7">
        <v>12600</v>
      </c>
      <c r="L12" s="6">
        <f t="shared" si="0"/>
        <v>100800</v>
      </c>
      <c r="M12" s="64">
        <v>0.1</v>
      </c>
      <c r="N12" s="6">
        <f t="shared" si="2"/>
        <v>14000</v>
      </c>
      <c r="O12" s="6">
        <f t="shared" si="3"/>
        <v>112000</v>
      </c>
      <c r="P12" s="63">
        <f t="shared" si="4"/>
        <v>15400.000000000002</v>
      </c>
    </row>
    <row r="13" spans="1:17" s="1" customFormat="1" x14ac:dyDescent="0.35">
      <c r="A13" s="50"/>
      <c r="B13" s="50"/>
      <c r="C13" s="40" t="s">
        <v>31</v>
      </c>
      <c r="D13" s="10" t="s">
        <v>5</v>
      </c>
      <c r="E13" s="10" t="s">
        <v>8</v>
      </c>
      <c r="F13" s="37">
        <f>F8</f>
        <v>40</v>
      </c>
      <c r="G13" s="38">
        <v>2000</v>
      </c>
      <c r="H13" s="38">
        <f t="shared" si="5"/>
        <v>80000</v>
      </c>
      <c r="I13" s="38" t="s">
        <v>20</v>
      </c>
      <c r="K13" s="7">
        <v>1500</v>
      </c>
      <c r="L13" s="6">
        <f t="shared" si="0"/>
        <v>60000</v>
      </c>
      <c r="M13" s="64">
        <v>0.1</v>
      </c>
      <c r="N13" s="6">
        <f t="shared" si="2"/>
        <v>1666.6666666666665</v>
      </c>
      <c r="O13" s="6">
        <f t="shared" si="3"/>
        <v>66666.666666666657</v>
      </c>
      <c r="P13" s="63">
        <f t="shared" si="4"/>
        <v>1833.3333333333333</v>
      </c>
    </row>
    <row r="14" spans="1:17" s="1" customFormat="1" ht="33.65" customHeight="1" x14ac:dyDescent="0.35">
      <c r="A14" s="50">
        <v>5</v>
      </c>
      <c r="B14" s="50" t="s">
        <v>4</v>
      </c>
      <c r="C14" s="39" t="s">
        <v>27</v>
      </c>
      <c r="D14" s="10" t="s">
        <v>41</v>
      </c>
      <c r="E14" s="10" t="s">
        <v>17</v>
      </c>
      <c r="F14" s="37">
        <v>100</v>
      </c>
      <c r="G14" s="38">
        <v>18000</v>
      </c>
      <c r="H14" s="38">
        <f t="shared" si="5"/>
        <v>1800000</v>
      </c>
      <c r="I14" s="38" t="s">
        <v>20</v>
      </c>
      <c r="K14" s="7">
        <v>12000</v>
      </c>
      <c r="L14" s="6">
        <f t="shared" si="0"/>
        <v>1200000</v>
      </c>
      <c r="M14" s="64">
        <v>0.1</v>
      </c>
      <c r="N14" s="6">
        <f t="shared" si="2"/>
        <v>13333.333333333332</v>
      </c>
      <c r="O14" s="6">
        <f t="shared" si="3"/>
        <v>1333333.3333333333</v>
      </c>
      <c r="P14" s="63">
        <f t="shared" si="4"/>
        <v>14666.666666666666</v>
      </c>
    </row>
    <row r="15" spans="1:17" s="1" customFormat="1" ht="32.4" customHeight="1" x14ac:dyDescent="0.35">
      <c r="A15" s="50"/>
      <c r="B15" s="50"/>
      <c r="C15" s="39" t="s">
        <v>28</v>
      </c>
      <c r="D15" s="10" t="s">
        <v>41</v>
      </c>
      <c r="E15" s="10" t="s">
        <v>17</v>
      </c>
      <c r="F15" s="37">
        <v>100</v>
      </c>
      <c r="G15" s="38">
        <v>18000</v>
      </c>
      <c r="H15" s="38">
        <f t="shared" si="5"/>
        <v>1800000</v>
      </c>
      <c r="I15" s="38" t="s">
        <v>20</v>
      </c>
      <c r="K15" s="7">
        <v>12000</v>
      </c>
      <c r="L15" s="6">
        <f t="shared" si="0"/>
        <v>1200000</v>
      </c>
      <c r="M15" s="64">
        <v>0.1</v>
      </c>
      <c r="N15" s="6">
        <f t="shared" si="2"/>
        <v>13333.333333333332</v>
      </c>
      <c r="O15" s="6">
        <f t="shared" si="3"/>
        <v>1333333.3333333333</v>
      </c>
      <c r="P15" s="63">
        <f t="shared" si="4"/>
        <v>14666.666666666666</v>
      </c>
    </row>
    <row r="16" spans="1:17" s="1" customFormat="1" ht="29" x14ac:dyDescent="0.35">
      <c r="A16" s="50"/>
      <c r="B16" s="50"/>
      <c r="C16" s="40" t="s">
        <v>105</v>
      </c>
      <c r="D16" s="10" t="s">
        <v>43</v>
      </c>
      <c r="E16" s="10" t="s">
        <v>17</v>
      </c>
      <c r="F16" s="37">
        <v>20</v>
      </c>
      <c r="G16" s="38">
        <v>80000</v>
      </c>
      <c r="H16" s="38">
        <f t="shared" si="5"/>
        <v>1600000</v>
      </c>
      <c r="I16" s="38" t="s">
        <v>20</v>
      </c>
      <c r="K16" s="7">
        <v>65000</v>
      </c>
      <c r="L16" s="6">
        <f t="shared" si="0"/>
        <v>1300000</v>
      </c>
      <c r="M16" s="64">
        <v>0.1</v>
      </c>
      <c r="N16" s="6">
        <f t="shared" si="2"/>
        <v>72222.222222222219</v>
      </c>
      <c r="O16" s="6">
        <f t="shared" si="3"/>
        <v>1444444.4444444445</v>
      </c>
      <c r="P16" s="63">
        <f t="shared" si="4"/>
        <v>79444.444444444453</v>
      </c>
    </row>
    <row r="17" spans="1:16" s="1" customFormat="1" ht="36" customHeight="1" x14ac:dyDescent="0.35">
      <c r="A17" s="50"/>
      <c r="B17" s="50"/>
      <c r="C17" s="39" t="s">
        <v>67</v>
      </c>
      <c r="D17" s="10" t="s">
        <v>5</v>
      </c>
      <c r="E17" s="10" t="s">
        <v>10</v>
      </c>
      <c r="F17" s="37">
        <v>1</v>
      </c>
      <c r="G17" s="38">
        <v>300000</v>
      </c>
      <c r="H17" s="38">
        <f t="shared" si="5"/>
        <v>300000</v>
      </c>
      <c r="I17" s="38" t="s">
        <v>20</v>
      </c>
      <c r="K17" s="7">
        <v>0</v>
      </c>
      <c r="L17" s="6">
        <f t="shared" si="0"/>
        <v>0</v>
      </c>
      <c r="M17" s="64">
        <v>0.1</v>
      </c>
      <c r="N17" s="6">
        <f t="shared" si="2"/>
        <v>0</v>
      </c>
      <c r="O17" s="6">
        <f t="shared" si="3"/>
        <v>0</v>
      </c>
      <c r="P17" s="63">
        <f t="shared" si="4"/>
        <v>0</v>
      </c>
    </row>
    <row r="18" spans="1:16" s="1" customFormat="1" ht="26" customHeight="1" x14ac:dyDescent="0.35">
      <c r="A18" s="50"/>
      <c r="B18" s="50"/>
      <c r="C18" s="39" t="s">
        <v>16</v>
      </c>
      <c r="D18" s="10" t="s">
        <v>41</v>
      </c>
      <c r="E18" s="10" t="s">
        <v>10</v>
      </c>
      <c r="F18" s="37">
        <v>12</v>
      </c>
      <c r="G18" s="38">
        <v>30000</v>
      </c>
      <c r="H18" s="38">
        <f t="shared" si="5"/>
        <v>360000</v>
      </c>
      <c r="I18" s="38" t="s">
        <v>20</v>
      </c>
      <c r="K18" s="7">
        <v>20000</v>
      </c>
      <c r="L18" s="6">
        <f t="shared" si="0"/>
        <v>240000</v>
      </c>
      <c r="M18" s="64">
        <v>0.1</v>
      </c>
      <c r="N18" s="6">
        <f t="shared" si="2"/>
        <v>22222.222222222223</v>
      </c>
      <c r="O18" s="6">
        <f t="shared" si="3"/>
        <v>266666.66666666669</v>
      </c>
      <c r="P18" s="63">
        <f t="shared" si="4"/>
        <v>24444.444444444445</v>
      </c>
    </row>
    <row r="19" spans="1:16" s="1" customFormat="1" ht="129.5" customHeight="1" x14ac:dyDescent="0.35">
      <c r="A19" s="10">
        <v>6</v>
      </c>
      <c r="B19" s="10" t="s">
        <v>18</v>
      </c>
      <c r="C19" s="39" t="s">
        <v>82</v>
      </c>
      <c r="D19" s="10" t="s">
        <v>2</v>
      </c>
      <c r="E19" s="10" t="s">
        <v>10</v>
      </c>
      <c r="F19" s="37">
        <v>1</v>
      </c>
      <c r="G19" s="38">
        <v>6500000</v>
      </c>
      <c r="H19" s="38">
        <f t="shared" si="5"/>
        <v>6500000</v>
      </c>
      <c r="I19" s="38" t="s">
        <v>46</v>
      </c>
      <c r="K19" s="7">
        <f>4380000/1.1+1500000</f>
        <v>5481818.1818181816</v>
      </c>
      <c r="L19" s="6">
        <f t="shared" si="0"/>
        <v>5481818.1818181816</v>
      </c>
      <c r="M19" s="64">
        <v>0.1</v>
      </c>
      <c r="N19" s="6">
        <f t="shared" si="2"/>
        <v>6090909.0909090908</v>
      </c>
      <c r="O19" s="6">
        <f t="shared" si="3"/>
        <v>6090909.0909090908</v>
      </c>
      <c r="P19" s="63">
        <f t="shared" si="4"/>
        <v>6700000</v>
      </c>
    </row>
    <row r="20" spans="1:16" s="1" customFormat="1" x14ac:dyDescent="0.35">
      <c r="A20" s="50">
        <v>7</v>
      </c>
      <c r="B20" s="52" t="s">
        <v>6</v>
      </c>
      <c r="C20" s="39" t="s">
        <v>47</v>
      </c>
      <c r="D20" s="10" t="s">
        <v>48</v>
      </c>
      <c r="E20" s="10" t="s">
        <v>17</v>
      </c>
      <c r="F20" s="37">
        <v>60</v>
      </c>
      <c r="G20" s="38">
        <v>15000</v>
      </c>
      <c r="H20" s="38">
        <f t="shared" si="5"/>
        <v>900000</v>
      </c>
      <c r="I20" s="38" t="s">
        <v>46</v>
      </c>
      <c r="K20" s="7">
        <v>12000</v>
      </c>
      <c r="L20" s="6">
        <f t="shared" si="0"/>
        <v>720000</v>
      </c>
      <c r="M20" s="64">
        <v>0.1</v>
      </c>
      <c r="N20" s="6">
        <f t="shared" si="2"/>
        <v>13333.333333333332</v>
      </c>
      <c r="O20" s="6">
        <f t="shared" si="3"/>
        <v>799999.99999999988</v>
      </c>
      <c r="P20" s="63">
        <f t="shared" si="4"/>
        <v>14666.666666666666</v>
      </c>
    </row>
    <row r="21" spans="1:16" s="1" customFormat="1" x14ac:dyDescent="0.35">
      <c r="A21" s="50"/>
      <c r="B21" s="52"/>
      <c r="C21" s="39" t="s">
        <v>49</v>
      </c>
      <c r="D21" s="10" t="s">
        <v>5</v>
      </c>
      <c r="E21" s="10" t="s">
        <v>8</v>
      </c>
      <c r="F21" s="37">
        <v>2</v>
      </c>
      <c r="G21" s="38">
        <v>250000</v>
      </c>
      <c r="H21" s="38">
        <f t="shared" si="5"/>
        <v>500000</v>
      </c>
      <c r="I21" s="38" t="s">
        <v>46</v>
      </c>
      <c r="K21" s="7">
        <v>200000</v>
      </c>
      <c r="L21" s="6">
        <f t="shared" si="0"/>
        <v>400000</v>
      </c>
      <c r="M21" s="64">
        <v>0.1</v>
      </c>
      <c r="N21" s="6">
        <f t="shared" si="2"/>
        <v>222222.22222222222</v>
      </c>
      <c r="O21" s="6">
        <f t="shared" si="3"/>
        <v>444444.44444444444</v>
      </c>
      <c r="P21" s="63">
        <f t="shared" si="4"/>
        <v>244444.44444444447</v>
      </c>
    </row>
    <row r="22" spans="1:16" s="1" customFormat="1" x14ac:dyDescent="0.35">
      <c r="A22" s="50"/>
      <c r="B22" s="52"/>
      <c r="C22" s="42" t="s">
        <v>24</v>
      </c>
      <c r="D22" s="10" t="s">
        <v>5</v>
      </c>
      <c r="E22" s="10" t="s">
        <v>17</v>
      </c>
      <c r="F22" s="37">
        <v>60</v>
      </c>
      <c r="G22" s="38">
        <v>15000</v>
      </c>
      <c r="H22" s="38">
        <f t="shared" si="5"/>
        <v>900000</v>
      </c>
      <c r="I22" s="38" t="s">
        <v>46</v>
      </c>
      <c r="K22" s="7">
        <v>12000</v>
      </c>
      <c r="L22" s="6">
        <f t="shared" si="0"/>
        <v>720000</v>
      </c>
      <c r="M22" s="64">
        <v>0.1</v>
      </c>
      <c r="N22" s="6">
        <f t="shared" si="2"/>
        <v>13333.333333333332</v>
      </c>
      <c r="O22" s="6">
        <f t="shared" si="3"/>
        <v>799999.99999999988</v>
      </c>
      <c r="P22" s="63">
        <f t="shared" si="4"/>
        <v>14666.666666666666</v>
      </c>
    </row>
    <row r="23" spans="1:16" s="1" customFormat="1" ht="29" x14ac:dyDescent="0.35">
      <c r="A23" s="50">
        <v>8</v>
      </c>
      <c r="B23" s="50" t="s">
        <v>7</v>
      </c>
      <c r="C23" s="42" t="s">
        <v>29</v>
      </c>
      <c r="D23" s="10" t="s">
        <v>2</v>
      </c>
      <c r="E23" s="10" t="s">
        <v>10</v>
      </c>
      <c r="F23" s="37">
        <v>1</v>
      </c>
      <c r="G23" s="38">
        <v>2000000</v>
      </c>
      <c r="H23" s="38">
        <f t="shared" si="5"/>
        <v>2000000</v>
      </c>
      <c r="I23" s="38"/>
      <c r="K23" s="7">
        <v>1000000</v>
      </c>
      <c r="L23" s="6">
        <f t="shared" si="0"/>
        <v>1000000</v>
      </c>
      <c r="M23" s="64">
        <v>0.1</v>
      </c>
      <c r="N23" s="6">
        <f>K23/(1-M23)</f>
        <v>1111111.111111111</v>
      </c>
      <c r="O23" s="6">
        <f t="shared" si="3"/>
        <v>1111111.111111111</v>
      </c>
      <c r="P23" s="63">
        <f t="shared" si="4"/>
        <v>1222222.2222222222</v>
      </c>
    </row>
    <row r="24" spans="1:16" s="1" customFormat="1" x14ac:dyDescent="0.35">
      <c r="A24" s="50"/>
      <c r="B24" s="51"/>
      <c r="C24" s="40" t="s">
        <v>50</v>
      </c>
      <c r="D24" s="10" t="s">
        <v>2</v>
      </c>
      <c r="E24" s="10" t="s">
        <v>10</v>
      </c>
      <c r="F24" s="37">
        <v>1</v>
      </c>
      <c r="G24" s="38">
        <v>13900000</v>
      </c>
      <c r="H24" s="38">
        <f t="shared" si="5"/>
        <v>13900000</v>
      </c>
      <c r="I24" s="38"/>
      <c r="K24" s="7">
        <f>1000000*14.88+2000000</f>
        <v>16880000</v>
      </c>
      <c r="L24" s="6">
        <f t="shared" si="0"/>
        <v>16880000</v>
      </c>
      <c r="M24" s="64">
        <v>0.1</v>
      </c>
      <c r="N24" s="6">
        <f t="shared" si="2"/>
        <v>18755555.555555556</v>
      </c>
      <c r="O24" s="6">
        <f t="shared" si="3"/>
        <v>18755555.555555556</v>
      </c>
      <c r="P24" s="63">
        <f t="shared" si="4"/>
        <v>20631111.111111112</v>
      </c>
    </row>
    <row r="25" spans="1:16" s="1" customFormat="1" ht="25.75" customHeight="1" x14ac:dyDescent="0.35">
      <c r="A25" s="51" t="s">
        <v>51</v>
      </c>
      <c r="B25" s="51"/>
      <c r="C25" s="51"/>
      <c r="D25" s="51"/>
      <c r="E25" s="51"/>
      <c r="F25" s="43"/>
      <c r="G25" s="43"/>
      <c r="H25" s="44">
        <f>SUM(H2:H24)</f>
        <v>189444000</v>
      </c>
      <c r="I25" s="39"/>
      <c r="K25" s="9" t="s">
        <v>71</v>
      </c>
      <c r="L25" s="57">
        <f>SUM(L2:L24)</f>
        <v>140971432.72727272</v>
      </c>
      <c r="M25" s="57"/>
      <c r="N25" s="57"/>
      <c r="O25" s="57">
        <f>SUM(O2:O24)</f>
        <v>163508238.14616752</v>
      </c>
      <c r="P25" s="57"/>
    </row>
    <row r="26" spans="1:16" ht="27.65" customHeight="1" x14ac:dyDescent="0.5">
      <c r="K26" s="9" t="s">
        <v>72</v>
      </c>
      <c r="L26" s="57">
        <f>L25*1.1</f>
        <v>155068576</v>
      </c>
      <c r="M26" s="57"/>
      <c r="N26" s="57"/>
      <c r="O26" s="57">
        <f>O25*1.1</f>
        <v>179859061.96078429</v>
      </c>
      <c r="P26" s="57"/>
    </row>
  </sheetData>
  <mergeCells count="11">
    <mergeCell ref="A25:E25"/>
    <mergeCell ref="A20:A22"/>
    <mergeCell ref="B20:B22"/>
    <mergeCell ref="A7:A13"/>
    <mergeCell ref="B7:B13"/>
    <mergeCell ref="A14:A18"/>
    <mergeCell ref="B14:B18"/>
    <mergeCell ref="A23:A24"/>
    <mergeCell ref="B23:B24"/>
    <mergeCell ref="A4:A6"/>
    <mergeCell ref="B4:B6"/>
  </mergeCells>
  <phoneticPr fontId="1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EF4B-4F1C-4FD4-8142-64F651B654C7}">
  <dimension ref="A1:Q26"/>
  <sheetViews>
    <sheetView zoomScale="80" zoomScaleNormal="80" workbookViewId="0">
      <selection activeCell="C23" sqref="C23"/>
    </sheetView>
  </sheetViews>
  <sheetFormatPr defaultColWidth="15.7265625" defaultRowHeight="21" x14ac:dyDescent="0.5"/>
  <cols>
    <col min="1" max="1" width="4.7265625" style="2" bestFit="1" customWidth="1"/>
    <col min="2" max="2" width="16.36328125" style="3" customWidth="1"/>
    <col min="3" max="3" width="49.81640625" style="2" customWidth="1"/>
    <col min="4" max="4" width="13.26953125" style="4" customWidth="1"/>
    <col min="5" max="5" width="11.1796875" style="4" customWidth="1"/>
    <col min="6" max="8" width="16.453125" style="4" customWidth="1"/>
    <col min="9" max="9" width="12.81640625" style="5" customWidth="1"/>
    <col min="10" max="10" width="15.7265625" style="2"/>
    <col min="11" max="11" width="20.1796875" style="5" customWidth="1"/>
    <col min="12" max="12" width="15.6328125" style="5" bestFit="1" customWidth="1"/>
    <col min="13" max="13" width="15.26953125" style="5" customWidth="1"/>
    <col min="14" max="14" width="18.54296875" style="5" customWidth="1"/>
    <col min="15" max="15" width="15.90625" style="5" bestFit="1" customWidth="1"/>
    <col min="16" max="16" width="23.2695312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56</v>
      </c>
      <c r="O1" s="53" t="s">
        <v>57</v>
      </c>
      <c r="P1" s="65" t="s">
        <v>73</v>
      </c>
      <c r="Q1" s="8"/>
    </row>
    <row r="2" spans="1:17" s="1" customFormat="1" ht="91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18</v>
      </c>
      <c r="G2" s="38">
        <v>2100000</v>
      </c>
      <c r="H2" s="38">
        <f>F2*G2</f>
        <v>37800000</v>
      </c>
      <c r="I2" s="38" t="s">
        <v>19</v>
      </c>
      <c r="J2" s="1">
        <f>18*620</f>
        <v>11160</v>
      </c>
      <c r="K2" s="54">
        <f>54*25500*(1+2%)</f>
        <v>1404540</v>
      </c>
      <c r="L2" s="6">
        <f t="shared" ref="L2:L24" si="0">F2*K2</f>
        <v>25281720</v>
      </c>
      <c r="M2" s="64">
        <v>0.15</v>
      </c>
      <c r="N2" s="6">
        <f>K2/(1-M2)</f>
        <v>1652400</v>
      </c>
      <c r="O2" s="6">
        <f>N2*F2</f>
        <v>29743200</v>
      </c>
      <c r="P2" s="63">
        <f>N2*1.1</f>
        <v>1817640.0000000002</v>
      </c>
    </row>
    <row r="3" spans="1:17" s="1" customFormat="1" ht="83" customHeight="1" x14ac:dyDescent="0.35">
      <c r="A3" s="10">
        <v>2</v>
      </c>
      <c r="B3" s="10" t="s">
        <v>23</v>
      </c>
      <c r="C3" s="36" t="s">
        <v>77</v>
      </c>
      <c r="D3" s="10" t="s">
        <v>34</v>
      </c>
      <c r="E3" s="37" t="s">
        <v>10</v>
      </c>
      <c r="F3" s="37">
        <v>1</v>
      </c>
      <c r="G3" s="38">
        <v>56500000</v>
      </c>
      <c r="H3" s="38">
        <f t="shared" ref="H3" si="1">F3*G3</f>
        <v>56500000</v>
      </c>
      <c r="I3" s="38" t="s">
        <v>20</v>
      </c>
      <c r="K3" s="13">
        <f>45400000/1.1</f>
        <v>41272727.272727266</v>
      </c>
      <c r="L3" s="6">
        <f t="shared" si="0"/>
        <v>41272727.272727266</v>
      </c>
      <c r="M3" s="64">
        <v>0.15</v>
      </c>
      <c r="N3" s="6">
        <f t="shared" ref="N3:N24" si="2">K3/(1-M3)</f>
        <v>48556149.732620314</v>
      </c>
      <c r="O3" s="6">
        <f t="shared" ref="O3:O24" si="3">N3*F3</f>
        <v>48556149.732620314</v>
      </c>
      <c r="P3" s="63">
        <f t="shared" ref="P3:P24" si="4">N3*1.1</f>
        <v>53411764.705882348</v>
      </c>
    </row>
    <row r="4" spans="1:17" s="1" customFormat="1" ht="71.400000000000006" customHeight="1" x14ac:dyDescent="0.35">
      <c r="A4" s="50">
        <v>3</v>
      </c>
      <c r="B4" s="50" t="s">
        <v>12</v>
      </c>
      <c r="C4" s="36" t="s">
        <v>35</v>
      </c>
      <c r="D4" s="10" t="s">
        <v>36</v>
      </c>
      <c r="E4" s="37" t="s">
        <v>10</v>
      </c>
      <c r="F4" s="37">
        <v>1</v>
      </c>
      <c r="G4" s="38">
        <v>23000000</v>
      </c>
      <c r="H4" s="38">
        <f>F4*G4</f>
        <v>23000000</v>
      </c>
      <c r="I4" s="38" t="s">
        <v>20</v>
      </c>
      <c r="K4" s="7">
        <f>17600000/1.1</f>
        <v>15999999.999999998</v>
      </c>
      <c r="L4" s="6">
        <f t="shared" si="0"/>
        <v>15999999.999999998</v>
      </c>
      <c r="M4" s="64">
        <v>0.15</v>
      </c>
      <c r="N4" s="6">
        <f t="shared" si="2"/>
        <v>18823529.411764704</v>
      </c>
      <c r="O4" s="6">
        <f t="shared" si="3"/>
        <v>18823529.411764704</v>
      </c>
      <c r="P4" s="63">
        <f t="shared" si="4"/>
        <v>20705882.352941174</v>
      </c>
    </row>
    <row r="5" spans="1:17" s="1" customFormat="1" ht="26.4" customHeight="1" x14ac:dyDescent="0.35">
      <c r="A5" s="50"/>
      <c r="B5" s="50"/>
      <c r="C5" s="39" t="s">
        <v>37</v>
      </c>
      <c r="D5" s="10" t="s">
        <v>2</v>
      </c>
      <c r="E5" s="10" t="s">
        <v>10</v>
      </c>
      <c r="F5" s="37">
        <v>1</v>
      </c>
      <c r="G5" s="38">
        <v>800000</v>
      </c>
      <c r="H5" s="38">
        <f t="shared" ref="H5:H26" si="5">F5*G5</f>
        <v>800000</v>
      </c>
      <c r="I5" s="38" t="s">
        <v>20</v>
      </c>
      <c r="K5" s="7">
        <f>300000/1.1</f>
        <v>272727.27272727271</v>
      </c>
      <c r="L5" s="6">
        <f t="shared" si="0"/>
        <v>272727.27272727271</v>
      </c>
      <c r="M5" s="64">
        <v>0.1</v>
      </c>
      <c r="N5" s="6">
        <f t="shared" si="2"/>
        <v>303030.30303030298</v>
      </c>
      <c r="O5" s="6">
        <f t="shared" si="3"/>
        <v>303030.30303030298</v>
      </c>
      <c r="P5" s="63">
        <f t="shared" si="4"/>
        <v>333333.33333333331</v>
      </c>
    </row>
    <row r="6" spans="1:17" s="1" customFormat="1" ht="26.4" customHeight="1" x14ac:dyDescent="0.35">
      <c r="A6" s="50"/>
      <c r="B6" s="50"/>
      <c r="C6" s="39" t="s">
        <v>38</v>
      </c>
      <c r="D6" s="10" t="s">
        <v>5</v>
      </c>
      <c r="E6" s="10" t="s">
        <v>10</v>
      </c>
      <c r="F6" s="37">
        <v>1</v>
      </c>
      <c r="G6" s="38">
        <v>100000</v>
      </c>
      <c r="H6" s="38">
        <f t="shared" si="5"/>
        <v>100000</v>
      </c>
      <c r="I6" s="38" t="s">
        <v>20</v>
      </c>
      <c r="K6" s="7">
        <v>0</v>
      </c>
      <c r="L6" s="6">
        <f t="shared" si="0"/>
        <v>0</v>
      </c>
      <c r="M6" s="64">
        <v>0.1</v>
      </c>
      <c r="N6" s="6">
        <f t="shared" si="2"/>
        <v>0</v>
      </c>
      <c r="O6" s="6">
        <f t="shared" si="3"/>
        <v>0</v>
      </c>
      <c r="P6" s="63">
        <f t="shared" si="4"/>
        <v>0</v>
      </c>
    </row>
    <row r="7" spans="1:17" s="1" customFormat="1" x14ac:dyDescent="0.35">
      <c r="A7" s="50">
        <v>4</v>
      </c>
      <c r="B7" s="50" t="s">
        <v>3</v>
      </c>
      <c r="C7" s="40" t="s">
        <v>0</v>
      </c>
      <c r="D7" s="10" t="s">
        <v>5</v>
      </c>
      <c r="E7" s="10" t="s">
        <v>8</v>
      </c>
      <c r="F7" s="37">
        <v>20</v>
      </c>
      <c r="G7" s="38">
        <v>11000</v>
      </c>
      <c r="H7" s="38">
        <f t="shared" si="5"/>
        <v>220000</v>
      </c>
      <c r="I7" s="38" t="s">
        <v>20</v>
      </c>
      <c r="J7" s="41" t="s">
        <v>74</v>
      </c>
      <c r="K7" s="7">
        <v>8800</v>
      </c>
      <c r="L7" s="6">
        <f t="shared" si="0"/>
        <v>176000</v>
      </c>
      <c r="M7" s="64">
        <v>0.1</v>
      </c>
      <c r="N7" s="6">
        <f t="shared" si="2"/>
        <v>9777.7777777777774</v>
      </c>
      <c r="O7" s="6">
        <f t="shared" si="3"/>
        <v>195555.55555555556</v>
      </c>
      <c r="P7" s="63">
        <f t="shared" si="4"/>
        <v>10755.555555555557</v>
      </c>
    </row>
    <row r="8" spans="1:17" s="1" customFormat="1" x14ac:dyDescent="0.35">
      <c r="A8" s="50"/>
      <c r="B8" s="50"/>
      <c r="C8" s="40" t="s">
        <v>13</v>
      </c>
      <c r="D8" s="10" t="s">
        <v>5</v>
      </c>
      <c r="E8" s="10" t="s">
        <v>8</v>
      </c>
      <c r="F8" s="37">
        <v>32</v>
      </c>
      <c r="G8" s="38">
        <v>11000</v>
      </c>
      <c r="H8" s="38">
        <f t="shared" si="5"/>
        <v>352000</v>
      </c>
      <c r="I8" s="38" t="s">
        <v>20</v>
      </c>
      <c r="K8" s="7">
        <v>8800</v>
      </c>
      <c r="L8" s="6">
        <f t="shared" si="0"/>
        <v>281600</v>
      </c>
      <c r="M8" s="64">
        <v>0.1</v>
      </c>
      <c r="N8" s="6">
        <f t="shared" si="2"/>
        <v>9777.7777777777774</v>
      </c>
      <c r="O8" s="6">
        <f t="shared" si="3"/>
        <v>312888.88888888888</v>
      </c>
      <c r="P8" s="63">
        <f t="shared" si="4"/>
        <v>10755.555555555557</v>
      </c>
    </row>
    <row r="9" spans="1:17" s="1" customFormat="1" x14ac:dyDescent="0.35">
      <c r="A9" s="50"/>
      <c r="B9" s="50"/>
      <c r="C9" s="40" t="s">
        <v>40</v>
      </c>
      <c r="D9" s="10" t="s">
        <v>5</v>
      </c>
      <c r="E9" s="10" t="s">
        <v>8</v>
      </c>
      <c r="F9" s="37">
        <v>11</v>
      </c>
      <c r="G9" s="38">
        <v>360000</v>
      </c>
      <c r="H9" s="38">
        <f t="shared" si="5"/>
        <v>3960000</v>
      </c>
      <c r="I9" s="38" t="s">
        <v>20</v>
      </c>
      <c r="J9" s="1">
        <f>18*2*1.2/4.2</f>
        <v>10.285714285714285</v>
      </c>
      <c r="K9" s="7">
        <v>294000</v>
      </c>
      <c r="L9" s="6">
        <f t="shared" si="0"/>
        <v>3234000</v>
      </c>
      <c r="M9" s="64">
        <v>0.1</v>
      </c>
      <c r="N9" s="6">
        <f t="shared" si="2"/>
        <v>326666.66666666669</v>
      </c>
      <c r="O9" s="6">
        <f t="shared" si="3"/>
        <v>3593333.3333333335</v>
      </c>
      <c r="P9" s="63">
        <f t="shared" si="4"/>
        <v>359333.33333333337</v>
      </c>
    </row>
    <row r="10" spans="1:17" s="1" customFormat="1" x14ac:dyDescent="0.35">
      <c r="A10" s="50"/>
      <c r="B10" s="50"/>
      <c r="C10" s="40" t="s">
        <v>25</v>
      </c>
      <c r="D10" s="10" t="s">
        <v>5</v>
      </c>
      <c r="E10" s="10" t="s">
        <v>8</v>
      </c>
      <c r="F10" s="37">
        <v>11</v>
      </c>
      <c r="G10" s="38">
        <v>20000</v>
      </c>
      <c r="H10" s="38">
        <f t="shared" si="5"/>
        <v>220000</v>
      </c>
      <c r="I10" s="38" t="s">
        <v>20</v>
      </c>
      <c r="K10" s="7">
        <v>12800</v>
      </c>
      <c r="L10" s="6">
        <f t="shared" si="0"/>
        <v>140800</v>
      </c>
      <c r="M10" s="64">
        <v>0.1</v>
      </c>
      <c r="N10" s="6">
        <f t="shared" si="2"/>
        <v>14222.222222222223</v>
      </c>
      <c r="O10" s="6">
        <f t="shared" si="3"/>
        <v>156444.44444444444</v>
      </c>
      <c r="P10" s="63">
        <f t="shared" si="4"/>
        <v>15644.444444444445</v>
      </c>
    </row>
    <row r="11" spans="1:17" s="1" customFormat="1" x14ac:dyDescent="0.35">
      <c r="A11" s="50"/>
      <c r="B11" s="50"/>
      <c r="C11" s="40" t="s">
        <v>26</v>
      </c>
      <c r="D11" s="10" t="s">
        <v>5</v>
      </c>
      <c r="E11" s="10" t="s">
        <v>8</v>
      </c>
      <c r="F11" s="37">
        <v>66</v>
      </c>
      <c r="G11" s="38">
        <v>20000</v>
      </c>
      <c r="H11" s="38">
        <f t="shared" si="5"/>
        <v>1320000</v>
      </c>
      <c r="I11" s="38" t="s">
        <v>20</v>
      </c>
      <c r="K11" s="7">
        <v>16000</v>
      </c>
      <c r="L11" s="6">
        <f t="shared" si="0"/>
        <v>1056000</v>
      </c>
      <c r="M11" s="64">
        <v>0.1</v>
      </c>
      <c r="N11" s="6">
        <f t="shared" si="2"/>
        <v>17777.777777777777</v>
      </c>
      <c r="O11" s="6">
        <f t="shared" si="3"/>
        <v>1173333.3333333333</v>
      </c>
      <c r="P11" s="63">
        <f t="shared" si="4"/>
        <v>19555.555555555558</v>
      </c>
    </row>
    <row r="12" spans="1:17" s="1" customFormat="1" x14ac:dyDescent="0.35">
      <c r="A12" s="50"/>
      <c r="B12" s="50"/>
      <c r="C12" s="40" t="s">
        <v>30</v>
      </c>
      <c r="D12" s="10" t="s">
        <v>5</v>
      </c>
      <c r="E12" s="10" t="s">
        <v>8</v>
      </c>
      <c r="F12" s="37">
        <v>6</v>
      </c>
      <c r="G12" s="38">
        <v>20000</v>
      </c>
      <c r="H12" s="38">
        <f t="shared" si="5"/>
        <v>120000</v>
      </c>
      <c r="I12" s="38" t="s">
        <v>20</v>
      </c>
      <c r="K12" s="7">
        <v>12600</v>
      </c>
      <c r="L12" s="6">
        <f t="shared" si="0"/>
        <v>75600</v>
      </c>
      <c r="M12" s="64">
        <v>0.1</v>
      </c>
      <c r="N12" s="6">
        <f t="shared" si="2"/>
        <v>14000</v>
      </c>
      <c r="O12" s="6">
        <f t="shared" si="3"/>
        <v>84000</v>
      </c>
      <c r="P12" s="63">
        <f t="shared" si="4"/>
        <v>15400.000000000002</v>
      </c>
    </row>
    <row r="13" spans="1:17" s="1" customFormat="1" x14ac:dyDescent="0.35">
      <c r="A13" s="50"/>
      <c r="B13" s="50"/>
      <c r="C13" s="40" t="s">
        <v>31</v>
      </c>
      <c r="D13" s="10" t="s">
        <v>5</v>
      </c>
      <c r="E13" s="10" t="s">
        <v>8</v>
      </c>
      <c r="F13" s="37">
        <f>F8</f>
        <v>32</v>
      </c>
      <c r="G13" s="38">
        <v>2000</v>
      </c>
      <c r="H13" s="38">
        <f t="shared" si="5"/>
        <v>64000</v>
      </c>
      <c r="I13" s="38" t="s">
        <v>20</v>
      </c>
      <c r="K13" s="7">
        <v>1500</v>
      </c>
      <c r="L13" s="6">
        <f t="shared" si="0"/>
        <v>48000</v>
      </c>
      <c r="M13" s="64">
        <v>0.1</v>
      </c>
      <c r="N13" s="6">
        <f t="shared" si="2"/>
        <v>1666.6666666666665</v>
      </c>
      <c r="O13" s="6">
        <f t="shared" si="3"/>
        <v>53333.333333333328</v>
      </c>
      <c r="P13" s="63">
        <f t="shared" si="4"/>
        <v>1833.3333333333333</v>
      </c>
    </row>
    <row r="14" spans="1:17" s="1" customFormat="1" ht="33.65" customHeight="1" x14ac:dyDescent="0.35">
      <c r="A14" s="50">
        <v>5</v>
      </c>
      <c r="B14" s="50" t="s">
        <v>4</v>
      </c>
      <c r="C14" s="39" t="s">
        <v>27</v>
      </c>
      <c r="D14" s="10" t="s">
        <v>41</v>
      </c>
      <c r="E14" s="10" t="s">
        <v>17</v>
      </c>
      <c r="F14" s="37">
        <v>100</v>
      </c>
      <c r="G14" s="38">
        <v>18000</v>
      </c>
      <c r="H14" s="38">
        <f t="shared" si="5"/>
        <v>1800000</v>
      </c>
      <c r="I14" s="38" t="s">
        <v>20</v>
      </c>
      <c r="K14" s="7">
        <v>12000</v>
      </c>
      <c r="L14" s="6">
        <f t="shared" si="0"/>
        <v>1200000</v>
      </c>
      <c r="M14" s="64">
        <v>0.1</v>
      </c>
      <c r="N14" s="6">
        <f t="shared" si="2"/>
        <v>13333.333333333332</v>
      </c>
      <c r="O14" s="6">
        <f t="shared" si="3"/>
        <v>1333333.3333333333</v>
      </c>
      <c r="P14" s="63">
        <f t="shared" si="4"/>
        <v>14666.666666666666</v>
      </c>
    </row>
    <row r="15" spans="1:17" s="1" customFormat="1" ht="32.4" customHeight="1" x14ac:dyDescent="0.35">
      <c r="A15" s="50"/>
      <c r="B15" s="50"/>
      <c r="C15" s="39" t="s">
        <v>28</v>
      </c>
      <c r="D15" s="10" t="s">
        <v>41</v>
      </c>
      <c r="E15" s="10" t="s">
        <v>17</v>
      </c>
      <c r="F15" s="37">
        <v>100</v>
      </c>
      <c r="G15" s="38">
        <v>18000</v>
      </c>
      <c r="H15" s="38">
        <f t="shared" si="5"/>
        <v>1800000</v>
      </c>
      <c r="I15" s="38" t="s">
        <v>20</v>
      </c>
      <c r="K15" s="7">
        <v>12000</v>
      </c>
      <c r="L15" s="6">
        <f t="shared" si="0"/>
        <v>1200000</v>
      </c>
      <c r="M15" s="64">
        <v>0.1</v>
      </c>
      <c r="N15" s="6">
        <f t="shared" si="2"/>
        <v>13333.333333333332</v>
      </c>
      <c r="O15" s="6">
        <f t="shared" si="3"/>
        <v>1333333.3333333333</v>
      </c>
      <c r="P15" s="63">
        <f t="shared" si="4"/>
        <v>14666.666666666666</v>
      </c>
    </row>
    <row r="16" spans="1:17" s="1" customFormat="1" ht="43.5" x14ac:dyDescent="0.35">
      <c r="A16" s="50"/>
      <c r="B16" s="50"/>
      <c r="C16" s="39" t="s">
        <v>79</v>
      </c>
      <c r="D16" s="10" t="s">
        <v>80</v>
      </c>
      <c r="E16" s="10" t="s">
        <v>17</v>
      </c>
      <c r="F16" s="37">
        <v>20</v>
      </c>
      <c r="G16" s="38">
        <v>150000</v>
      </c>
      <c r="H16" s="38">
        <f t="shared" si="5"/>
        <v>3000000</v>
      </c>
      <c r="I16" s="38" t="s">
        <v>20</v>
      </c>
      <c r="K16" s="7">
        <f>135000/1.1+100000/20</f>
        <v>127727.27272727272</v>
      </c>
      <c r="L16" s="6">
        <f t="shared" si="0"/>
        <v>2554545.4545454546</v>
      </c>
      <c r="M16" s="64">
        <v>0.1</v>
      </c>
      <c r="N16" s="6">
        <f t="shared" si="2"/>
        <v>141919.19191919192</v>
      </c>
      <c r="O16" s="6">
        <f t="shared" si="3"/>
        <v>2838383.8383838385</v>
      </c>
      <c r="P16" s="63">
        <f t="shared" si="4"/>
        <v>156111.11111111112</v>
      </c>
    </row>
    <row r="17" spans="1:16" s="1" customFormat="1" ht="36" customHeight="1" x14ac:dyDescent="0.35">
      <c r="A17" s="50"/>
      <c r="B17" s="50"/>
      <c r="C17" s="39" t="s">
        <v>67</v>
      </c>
      <c r="D17" s="10" t="s">
        <v>5</v>
      </c>
      <c r="E17" s="10" t="s">
        <v>10</v>
      </c>
      <c r="F17" s="37">
        <v>1</v>
      </c>
      <c r="G17" s="38">
        <v>300000</v>
      </c>
      <c r="H17" s="38">
        <f t="shared" si="5"/>
        <v>300000</v>
      </c>
      <c r="I17" s="38" t="s">
        <v>20</v>
      </c>
      <c r="K17" s="7">
        <v>0</v>
      </c>
      <c r="L17" s="6">
        <f t="shared" si="0"/>
        <v>0</v>
      </c>
      <c r="M17" s="64">
        <v>0.1</v>
      </c>
      <c r="N17" s="6">
        <f t="shared" si="2"/>
        <v>0</v>
      </c>
      <c r="O17" s="6">
        <f t="shared" si="3"/>
        <v>0</v>
      </c>
      <c r="P17" s="63">
        <f t="shared" si="4"/>
        <v>0</v>
      </c>
    </row>
    <row r="18" spans="1:16" s="1" customFormat="1" ht="26" customHeight="1" x14ac:dyDescent="0.35">
      <c r="A18" s="50"/>
      <c r="B18" s="50"/>
      <c r="C18" s="39" t="s">
        <v>16</v>
      </c>
      <c r="D18" s="10" t="s">
        <v>41</v>
      </c>
      <c r="E18" s="10" t="s">
        <v>10</v>
      </c>
      <c r="F18" s="37">
        <v>10</v>
      </c>
      <c r="G18" s="38">
        <v>30000</v>
      </c>
      <c r="H18" s="38">
        <f t="shared" si="5"/>
        <v>300000</v>
      </c>
      <c r="I18" s="38" t="s">
        <v>20</v>
      </c>
      <c r="K18" s="7">
        <v>20000</v>
      </c>
      <c r="L18" s="6">
        <f t="shared" si="0"/>
        <v>200000</v>
      </c>
      <c r="M18" s="64">
        <v>0.1</v>
      </c>
      <c r="N18" s="6">
        <f t="shared" si="2"/>
        <v>22222.222222222223</v>
      </c>
      <c r="O18" s="6">
        <f t="shared" si="3"/>
        <v>222222.22222222222</v>
      </c>
      <c r="P18" s="63">
        <f t="shared" si="4"/>
        <v>24444.444444444445</v>
      </c>
    </row>
    <row r="19" spans="1:16" s="1" customFormat="1" ht="138" customHeight="1" x14ac:dyDescent="0.35">
      <c r="A19" s="10">
        <v>6</v>
      </c>
      <c r="B19" s="10" t="s">
        <v>18</v>
      </c>
      <c r="C19" s="39" t="s">
        <v>90</v>
      </c>
      <c r="D19" s="10" t="s">
        <v>2</v>
      </c>
      <c r="E19" s="10" t="s">
        <v>10</v>
      </c>
      <c r="F19" s="37">
        <v>1</v>
      </c>
      <c r="G19" s="38">
        <v>8500000</v>
      </c>
      <c r="H19" s="38">
        <f t="shared" si="5"/>
        <v>8500000</v>
      </c>
      <c r="I19" s="38" t="s">
        <v>46</v>
      </c>
      <c r="K19" s="7">
        <f>5380000/1.1+1500000</f>
        <v>6390909.0909090908</v>
      </c>
      <c r="L19" s="6">
        <f t="shared" si="0"/>
        <v>6390909.0909090908</v>
      </c>
      <c r="M19" s="64">
        <v>0.1</v>
      </c>
      <c r="N19" s="6">
        <f t="shared" si="2"/>
        <v>7101010.1010101009</v>
      </c>
      <c r="O19" s="6">
        <f t="shared" si="3"/>
        <v>7101010.1010101009</v>
      </c>
      <c r="P19" s="63">
        <f t="shared" si="4"/>
        <v>7811111.1111111119</v>
      </c>
    </row>
    <row r="20" spans="1:16" s="1" customFormat="1" x14ac:dyDescent="0.35">
      <c r="A20" s="50">
        <v>7</v>
      </c>
      <c r="B20" s="52" t="s">
        <v>6</v>
      </c>
      <c r="C20" s="39" t="s">
        <v>47</v>
      </c>
      <c r="D20" s="10" t="s">
        <v>48</v>
      </c>
      <c r="E20" s="10" t="s">
        <v>17</v>
      </c>
      <c r="F20" s="37">
        <v>60</v>
      </c>
      <c r="G20" s="38">
        <v>15000</v>
      </c>
      <c r="H20" s="38">
        <f t="shared" si="5"/>
        <v>900000</v>
      </c>
      <c r="I20" s="38" t="s">
        <v>46</v>
      </c>
      <c r="K20" s="7">
        <v>12000</v>
      </c>
      <c r="L20" s="6">
        <f t="shared" si="0"/>
        <v>720000</v>
      </c>
      <c r="M20" s="64">
        <v>0.1</v>
      </c>
      <c r="N20" s="6">
        <f t="shared" si="2"/>
        <v>13333.333333333332</v>
      </c>
      <c r="O20" s="6">
        <f t="shared" si="3"/>
        <v>799999.99999999988</v>
      </c>
      <c r="P20" s="63">
        <f t="shared" si="4"/>
        <v>14666.666666666666</v>
      </c>
    </row>
    <row r="21" spans="1:16" s="1" customFormat="1" x14ac:dyDescent="0.35">
      <c r="A21" s="50"/>
      <c r="B21" s="52"/>
      <c r="C21" s="39" t="s">
        <v>49</v>
      </c>
      <c r="D21" s="10" t="s">
        <v>5</v>
      </c>
      <c r="E21" s="10" t="s">
        <v>8</v>
      </c>
      <c r="F21" s="37">
        <v>2</v>
      </c>
      <c r="G21" s="38">
        <v>250000</v>
      </c>
      <c r="H21" s="38">
        <f t="shared" si="5"/>
        <v>500000</v>
      </c>
      <c r="I21" s="38" t="s">
        <v>46</v>
      </c>
      <c r="K21" s="7">
        <v>200000</v>
      </c>
      <c r="L21" s="6">
        <f t="shared" si="0"/>
        <v>400000</v>
      </c>
      <c r="M21" s="64">
        <v>0.1</v>
      </c>
      <c r="N21" s="6">
        <f t="shared" si="2"/>
        <v>222222.22222222222</v>
      </c>
      <c r="O21" s="6">
        <f t="shared" si="3"/>
        <v>444444.44444444444</v>
      </c>
      <c r="P21" s="63">
        <f t="shared" si="4"/>
        <v>244444.44444444447</v>
      </c>
    </row>
    <row r="22" spans="1:16" s="1" customFormat="1" x14ac:dyDescent="0.35">
      <c r="A22" s="50"/>
      <c r="B22" s="52"/>
      <c r="C22" s="42" t="s">
        <v>24</v>
      </c>
      <c r="D22" s="10" t="s">
        <v>5</v>
      </c>
      <c r="E22" s="10" t="s">
        <v>17</v>
      </c>
      <c r="F22" s="37">
        <v>60</v>
      </c>
      <c r="G22" s="38">
        <v>15000</v>
      </c>
      <c r="H22" s="38">
        <f t="shared" si="5"/>
        <v>900000</v>
      </c>
      <c r="I22" s="38" t="s">
        <v>46</v>
      </c>
      <c r="K22" s="7">
        <v>12000</v>
      </c>
      <c r="L22" s="6">
        <f t="shared" si="0"/>
        <v>720000</v>
      </c>
      <c r="M22" s="64">
        <v>0.1</v>
      </c>
      <c r="N22" s="6">
        <f t="shared" si="2"/>
        <v>13333.333333333332</v>
      </c>
      <c r="O22" s="6">
        <f t="shared" si="3"/>
        <v>799999.99999999988</v>
      </c>
      <c r="P22" s="63">
        <f t="shared" si="4"/>
        <v>14666.666666666666</v>
      </c>
    </row>
    <row r="23" spans="1:16" s="1" customFormat="1" ht="29" x14ac:dyDescent="0.35">
      <c r="A23" s="50">
        <v>8</v>
      </c>
      <c r="B23" s="50" t="s">
        <v>7</v>
      </c>
      <c r="C23" s="42" t="s">
        <v>29</v>
      </c>
      <c r="D23" s="10" t="s">
        <v>2</v>
      </c>
      <c r="E23" s="10" t="s">
        <v>10</v>
      </c>
      <c r="F23" s="37">
        <v>1</v>
      </c>
      <c r="G23" s="38">
        <v>2000000</v>
      </c>
      <c r="H23" s="38">
        <f t="shared" si="5"/>
        <v>2000000</v>
      </c>
      <c r="I23" s="38"/>
      <c r="K23" s="7">
        <v>1000000</v>
      </c>
      <c r="L23" s="6">
        <f t="shared" si="0"/>
        <v>1000000</v>
      </c>
      <c r="M23" s="64">
        <v>0.1</v>
      </c>
      <c r="N23" s="6">
        <f>K23/(1-M23)</f>
        <v>1111111.111111111</v>
      </c>
      <c r="O23" s="6">
        <f t="shared" si="3"/>
        <v>1111111.111111111</v>
      </c>
      <c r="P23" s="63">
        <f t="shared" si="4"/>
        <v>1222222.2222222222</v>
      </c>
    </row>
    <row r="24" spans="1:16" s="1" customFormat="1" x14ac:dyDescent="0.35">
      <c r="A24" s="50"/>
      <c r="B24" s="51"/>
      <c r="C24" s="40" t="s">
        <v>50</v>
      </c>
      <c r="D24" s="10" t="s">
        <v>2</v>
      </c>
      <c r="E24" s="10" t="s">
        <v>10</v>
      </c>
      <c r="F24" s="37">
        <v>1</v>
      </c>
      <c r="G24" s="38">
        <v>9600000</v>
      </c>
      <c r="H24" s="38">
        <f t="shared" si="5"/>
        <v>9600000</v>
      </c>
      <c r="I24" s="38"/>
      <c r="K24" s="7">
        <f>1000000*11.16+2000000</f>
        <v>13160000</v>
      </c>
      <c r="L24" s="6">
        <f t="shared" si="0"/>
        <v>13160000</v>
      </c>
      <c r="M24" s="64">
        <v>0.1</v>
      </c>
      <c r="N24" s="6">
        <f t="shared" si="2"/>
        <v>14622222.222222222</v>
      </c>
      <c r="O24" s="6">
        <f t="shared" si="3"/>
        <v>14622222.222222222</v>
      </c>
      <c r="P24" s="63">
        <f t="shared" si="4"/>
        <v>16084444.444444446</v>
      </c>
    </row>
    <row r="25" spans="1:16" s="1" customFormat="1" ht="25.75" customHeight="1" x14ac:dyDescent="0.35">
      <c r="A25" s="51" t="s">
        <v>51</v>
      </c>
      <c r="B25" s="51"/>
      <c r="C25" s="51"/>
      <c r="D25" s="51"/>
      <c r="E25" s="51"/>
      <c r="F25" s="43"/>
      <c r="G25" s="43"/>
      <c r="H25" s="44">
        <f>SUM(H2:H24)</f>
        <v>154056000</v>
      </c>
      <c r="I25" s="39"/>
      <c r="K25" s="9" t="s">
        <v>71</v>
      </c>
      <c r="L25" s="57">
        <f>SUM(L2:L24)</f>
        <v>115384629.09090908</v>
      </c>
      <c r="M25" s="57"/>
      <c r="N25" s="57"/>
      <c r="O25" s="57">
        <f>SUM(O2:O24)</f>
        <v>133600858.94236478</v>
      </c>
      <c r="P25" s="57"/>
    </row>
    <row r="26" spans="1:16" ht="27.65" customHeight="1" x14ac:dyDescent="0.5">
      <c r="K26" s="9" t="s">
        <v>72</v>
      </c>
      <c r="L26" s="57">
        <f>L25*1.1</f>
        <v>126923092</v>
      </c>
      <c r="M26" s="57"/>
      <c r="N26" s="57"/>
      <c r="O26" s="57">
        <f>O25*1.1</f>
        <v>146960944.83660126</v>
      </c>
      <c r="P26" s="57"/>
    </row>
  </sheetData>
  <mergeCells count="11">
    <mergeCell ref="A25:E25"/>
    <mergeCell ref="A20:A22"/>
    <mergeCell ref="B20:B22"/>
    <mergeCell ref="A7:A13"/>
    <mergeCell ref="B7:B13"/>
    <mergeCell ref="A14:A18"/>
    <mergeCell ref="B14:B18"/>
    <mergeCell ref="A23:A24"/>
    <mergeCell ref="B23:B24"/>
    <mergeCell ref="A4:A6"/>
    <mergeCell ref="B4:B6"/>
  </mergeCells>
  <phoneticPr fontId="1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AB84-FCF3-47C0-A5FB-969042350039}">
  <dimension ref="A1:Q26"/>
  <sheetViews>
    <sheetView zoomScale="80" zoomScaleNormal="80" workbookViewId="0">
      <selection activeCell="G25" sqref="G25"/>
    </sheetView>
  </sheetViews>
  <sheetFormatPr defaultColWidth="15.7265625" defaultRowHeight="21" x14ac:dyDescent="0.5"/>
  <cols>
    <col min="1" max="1" width="4.7265625" style="2" bestFit="1" customWidth="1"/>
    <col min="2" max="2" width="16.36328125" style="3" customWidth="1"/>
    <col min="3" max="3" width="49.81640625" style="2" customWidth="1"/>
    <col min="4" max="4" width="13.26953125" style="4" customWidth="1"/>
    <col min="5" max="5" width="11.1796875" style="4" customWidth="1"/>
    <col min="6" max="8" width="16.453125" style="4" customWidth="1"/>
    <col min="9" max="9" width="12.81640625" style="5" customWidth="1"/>
    <col min="10" max="10" width="15.7265625" style="2"/>
    <col min="11" max="11" width="20.1796875" style="5" customWidth="1"/>
    <col min="12" max="12" width="15.6328125" style="5" bestFit="1" customWidth="1"/>
    <col min="13" max="13" width="15.26953125" style="5" customWidth="1"/>
    <col min="14" max="14" width="18.54296875" style="5" customWidth="1"/>
    <col min="15" max="15" width="15.90625" style="5" bestFit="1" customWidth="1"/>
    <col min="16" max="16" width="23.2695312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56</v>
      </c>
      <c r="O1" s="53" t="s">
        <v>57</v>
      </c>
      <c r="P1" s="65" t="s">
        <v>73</v>
      </c>
      <c r="Q1" s="8"/>
    </row>
    <row r="2" spans="1:17" s="1" customFormat="1" ht="91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27</v>
      </c>
      <c r="G2" s="38">
        <v>2100000</v>
      </c>
      <c r="H2" s="38">
        <f>F2*G2</f>
        <v>56700000</v>
      </c>
      <c r="I2" s="38" t="s">
        <v>19</v>
      </c>
      <c r="J2" s="1">
        <f>27*620</f>
        <v>16740</v>
      </c>
      <c r="K2" s="54">
        <f>54*25500*(1+2%)</f>
        <v>1404540</v>
      </c>
      <c r="L2" s="6">
        <f t="shared" ref="L2:L24" si="0">F2*K2</f>
        <v>37922580</v>
      </c>
      <c r="M2" s="64">
        <v>0.15</v>
      </c>
      <c r="N2" s="6">
        <f>K2/(1-M2)</f>
        <v>1652400</v>
      </c>
      <c r="O2" s="6">
        <f>N2*F2</f>
        <v>44614800</v>
      </c>
      <c r="P2" s="63">
        <f>N2*1.1</f>
        <v>1817640.0000000002</v>
      </c>
    </row>
    <row r="3" spans="1:17" s="1" customFormat="1" ht="83" customHeight="1" x14ac:dyDescent="0.35">
      <c r="A3" s="10">
        <v>2</v>
      </c>
      <c r="B3" s="10" t="s">
        <v>23</v>
      </c>
      <c r="C3" s="36" t="s">
        <v>77</v>
      </c>
      <c r="D3" s="10" t="s">
        <v>34</v>
      </c>
      <c r="E3" s="37" t="s">
        <v>10</v>
      </c>
      <c r="F3" s="37">
        <v>1</v>
      </c>
      <c r="G3" s="38">
        <v>56500000</v>
      </c>
      <c r="H3" s="38">
        <f t="shared" ref="H3" si="1">F3*G3</f>
        <v>56500000</v>
      </c>
      <c r="I3" s="38" t="s">
        <v>20</v>
      </c>
      <c r="K3" s="13">
        <f>45400000/1.1</f>
        <v>41272727.272727266</v>
      </c>
      <c r="L3" s="6">
        <f t="shared" si="0"/>
        <v>41272727.272727266</v>
      </c>
      <c r="M3" s="64">
        <v>0.15</v>
      </c>
      <c r="N3" s="6">
        <f t="shared" ref="N3:N24" si="2">K3/(1-M3)</f>
        <v>48556149.732620314</v>
      </c>
      <c r="O3" s="6">
        <f t="shared" ref="O3:O24" si="3">N3*F3</f>
        <v>48556149.732620314</v>
      </c>
      <c r="P3" s="63">
        <f t="shared" ref="P3:P24" si="4">N3*1.1</f>
        <v>53411764.705882348</v>
      </c>
    </row>
    <row r="4" spans="1:17" s="1" customFormat="1" ht="71.400000000000006" customHeight="1" x14ac:dyDescent="0.35">
      <c r="A4" s="50">
        <v>3</v>
      </c>
      <c r="B4" s="50" t="s">
        <v>12</v>
      </c>
      <c r="C4" s="36" t="s">
        <v>76</v>
      </c>
      <c r="D4" s="10" t="s">
        <v>36</v>
      </c>
      <c r="E4" s="37" t="s">
        <v>10</v>
      </c>
      <c r="F4" s="37">
        <v>1</v>
      </c>
      <c r="G4" s="38">
        <v>60000000</v>
      </c>
      <c r="H4" s="38">
        <f>F4*G4</f>
        <v>60000000</v>
      </c>
      <c r="I4" s="38" t="s">
        <v>20</v>
      </c>
      <c r="K4" s="13">
        <f>47470000/1.1</f>
        <v>43154545.454545453</v>
      </c>
      <c r="L4" s="6">
        <f t="shared" si="0"/>
        <v>43154545.454545453</v>
      </c>
      <c r="M4" s="64">
        <v>0.15</v>
      </c>
      <c r="N4" s="6">
        <f t="shared" si="2"/>
        <v>50770053.475935832</v>
      </c>
      <c r="O4" s="6">
        <f t="shared" si="3"/>
        <v>50770053.475935832</v>
      </c>
      <c r="P4" s="63">
        <f t="shared" si="4"/>
        <v>55847058.823529422</v>
      </c>
    </row>
    <row r="5" spans="1:17" s="1" customFormat="1" ht="26.4" customHeight="1" x14ac:dyDescent="0.35">
      <c r="A5" s="50"/>
      <c r="B5" s="50"/>
      <c r="C5" s="39" t="s">
        <v>37</v>
      </c>
      <c r="D5" s="10" t="s">
        <v>2</v>
      </c>
      <c r="E5" s="10" t="s">
        <v>10</v>
      </c>
      <c r="F5" s="37">
        <v>1</v>
      </c>
      <c r="G5" s="38">
        <v>800000</v>
      </c>
      <c r="H5" s="38">
        <f t="shared" ref="H5:H26" si="5">F5*G5</f>
        <v>800000</v>
      </c>
      <c r="I5" s="38" t="s">
        <v>20</v>
      </c>
      <c r="K5" s="7">
        <f>300000/1.1</f>
        <v>272727.27272727271</v>
      </c>
      <c r="L5" s="6">
        <f t="shared" si="0"/>
        <v>272727.27272727271</v>
      </c>
      <c r="M5" s="64">
        <v>0.1</v>
      </c>
      <c r="N5" s="6">
        <f t="shared" si="2"/>
        <v>303030.30303030298</v>
      </c>
      <c r="O5" s="6">
        <f t="shared" si="3"/>
        <v>303030.30303030298</v>
      </c>
      <c r="P5" s="63">
        <f t="shared" si="4"/>
        <v>333333.33333333331</v>
      </c>
    </row>
    <row r="6" spans="1:17" s="1" customFormat="1" ht="26.4" customHeight="1" x14ac:dyDescent="0.35">
      <c r="A6" s="50"/>
      <c r="B6" s="50"/>
      <c r="C6" s="39" t="s">
        <v>38</v>
      </c>
      <c r="D6" s="10" t="s">
        <v>5</v>
      </c>
      <c r="E6" s="10" t="s">
        <v>10</v>
      </c>
      <c r="F6" s="37">
        <v>1</v>
      </c>
      <c r="G6" s="38">
        <v>100000</v>
      </c>
      <c r="H6" s="38">
        <f t="shared" si="5"/>
        <v>100000</v>
      </c>
      <c r="I6" s="38" t="s">
        <v>20</v>
      </c>
      <c r="K6" s="7">
        <v>0</v>
      </c>
      <c r="L6" s="6">
        <f t="shared" si="0"/>
        <v>0</v>
      </c>
      <c r="M6" s="64">
        <v>0.1</v>
      </c>
      <c r="N6" s="6">
        <f t="shared" si="2"/>
        <v>0</v>
      </c>
      <c r="O6" s="6">
        <f t="shared" si="3"/>
        <v>0</v>
      </c>
      <c r="P6" s="63">
        <f t="shared" si="4"/>
        <v>0</v>
      </c>
    </row>
    <row r="7" spans="1:17" s="1" customFormat="1" x14ac:dyDescent="0.35">
      <c r="A7" s="50">
        <v>4</v>
      </c>
      <c r="B7" s="50" t="s">
        <v>3</v>
      </c>
      <c r="C7" s="40" t="s">
        <v>0</v>
      </c>
      <c r="D7" s="10" t="s">
        <v>5</v>
      </c>
      <c r="E7" s="10" t="s">
        <v>8</v>
      </c>
      <c r="F7" s="37">
        <v>24</v>
      </c>
      <c r="G7" s="38">
        <v>11000</v>
      </c>
      <c r="H7" s="38">
        <f t="shared" si="5"/>
        <v>264000</v>
      </c>
      <c r="I7" s="38" t="s">
        <v>20</v>
      </c>
      <c r="J7" s="41" t="s">
        <v>81</v>
      </c>
      <c r="K7" s="7">
        <v>8800</v>
      </c>
      <c r="L7" s="6">
        <f t="shared" si="0"/>
        <v>211200</v>
      </c>
      <c r="M7" s="64">
        <v>0.1</v>
      </c>
      <c r="N7" s="6">
        <f t="shared" si="2"/>
        <v>9777.7777777777774</v>
      </c>
      <c r="O7" s="6">
        <f t="shared" si="3"/>
        <v>234666.66666666666</v>
      </c>
      <c r="P7" s="63">
        <f t="shared" si="4"/>
        <v>10755.555555555557</v>
      </c>
    </row>
    <row r="8" spans="1:17" s="1" customFormat="1" x14ac:dyDescent="0.35">
      <c r="A8" s="50"/>
      <c r="B8" s="50"/>
      <c r="C8" s="40" t="s">
        <v>13</v>
      </c>
      <c r="D8" s="10" t="s">
        <v>5</v>
      </c>
      <c r="E8" s="10" t="s">
        <v>8</v>
      </c>
      <c r="F8" s="37">
        <v>48</v>
      </c>
      <c r="G8" s="38">
        <v>11000</v>
      </c>
      <c r="H8" s="38">
        <f t="shared" si="5"/>
        <v>528000</v>
      </c>
      <c r="I8" s="38" t="s">
        <v>20</v>
      </c>
      <c r="K8" s="7">
        <v>8800</v>
      </c>
      <c r="L8" s="6">
        <f t="shared" si="0"/>
        <v>422400</v>
      </c>
      <c r="M8" s="64">
        <v>0.1</v>
      </c>
      <c r="N8" s="6">
        <f t="shared" si="2"/>
        <v>9777.7777777777774</v>
      </c>
      <c r="O8" s="6">
        <f t="shared" si="3"/>
        <v>469333.33333333331</v>
      </c>
      <c r="P8" s="63">
        <f t="shared" si="4"/>
        <v>10755.555555555557</v>
      </c>
    </row>
    <row r="9" spans="1:17" s="1" customFormat="1" x14ac:dyDescent="0.35">
      <c r="A9" s="50"/>
      <c r="B9" s="50"/>
      <c r="C9" s="40" t="s">
        <v>40</v>
      </c>
      <c r="D9" s="10" t="s">
        <v>5</v>
      </c>
      <c r="E9" s="10" t="s">
        <v>8</v>
      </c>
      <c r="F9" s="37">
        <v>16</v>
      </c>
      <c r="G9" s="38">
        <v>360000</v>
      </c>
      <c r="H9" s="38">
        <f t="shared" si="5"/>
        <v>5760000</v>
      </c>
      <c r="I9" s="38" t="s">
        <v>20</v>
      </c>
      <c r="J9" s="1">
        <f>27*2*1.2/4.2</f>
        <v>15.428571428571427</v>
      </c>
      <c r="K9" s="7">
        <v>294000</v>
      </c>
      <c r="L9" s="6">
        <f t="shared" si="0"/>
        <v>4704000</v>
      </c>
      <c r="M9" s="64">
        <v>0.1</v>
      </c>
      <c r="N9" s="6">
        <f t="shared" si="2"/>
        <v>326666.66666666669</v>
      </c>
      <c r="O9" s="6">
        <f t="shared" si="3"/>
        <v>5226666.666666667</v>
      </c>
      <c r="P9" s="63">
        <f t="shared" si="4"/>
        <v>359333.33333333337</v>
      </c>
    </row>
    <row r="10" spans="1:17" s="1" customFormat="1" x14ac:dyDescent="0.35">
      <c r="A10" s="50"/>
      <c r="B10" s="50"/>
      <c r="C10" s="40" t="s">
        <v>25</v>
      </c>
      <c r="D10" s="10" t="s">
        <v>5</v>
      </c>
      <c r="E10" s="10" t="s">
        <v>8</v>
      </c>
      <c r="F10" s="37">
        <v>16</v>
      </c>
      <c r="G10" s="38">
        <v>20000</v>
      </c>
      <c r="H10" s="38">
        <f t="shared" si="5"/>
        <v>320000</v>
      </c>
      <c r="I10" s="38" t="s">
        <v>20</v>
      </c>
      <c r="K10" s="7">
        <v>12800</v>
      </c>
      <c r="L10" s="6">
        <f t="shared" si="0"/>
        <v>204800</v>
      </c>
      <c r="M10" s="64">
        <v>0.1</v>
      </c>
      <c r="N10" s="6">
        <f t="shared" si="2"/>
        <v>14222.222222222223</v>
      </c>
      <c r="O10" s="6">
        <f t="shared" si="3"/>
        <v>227555.55555555556</v>
      </c>
      <c r="P10" s="63">
        <f t="shared" si="4"/>
        <v>15644.444444444445</v>
      </c>
    </row>
    <row r="11" spans="1:17" s="1" customFormat="1" x14ac:dyDescent="0.35">
      <c r="A11" s="50"/>
      <c r="B11" s="50"/>
      <c r="C11" s="40" t="s">
        <v>26</v>
      </c>
      <c r="D11" s="10" t="s">
        <v>5</v>
      </c>
      <c r="E11" s="10" t="s">
        <v>8</v>
      </c>
      <c r="F11" s="37">
        <f>F9*6+4</f>
        <v>100</v>
      </c>
      <c r="G11" s="38">
        <v>20000</v>
      </c>
      <c r="H11" s="38">
        <f t="shared" si="5"/>
        <v>2000000</v>
      </c>
      <c r="I11" s="38" t="s">
        <v>20</v>
      </c>
      <c r="K11" s="7">
        <v>16000</v>
      </c>
      <c r="L11" s="6">
        <f t="shared" si="0"/>
        <v>1600000</v>
      </c>
      <c r="M11" s="64">
        <v>0.1</v>
      </c>
      <c r="N11" s="6">
        <f t="shared" si="2"/>
        <v>17777.777777777777</v>
      </c>
      <c r="O11" s="6">
        <f t="shared" si="3"/>
        <v>1777777.7777777778</v>
      </c>
      <c r="P11" s="63">
        <f t="shared" si="4"/>
        <v>19555.555555555558</v>
      </c>
    </row>
    <row r="12" spans="1:17" s="1" customFormat="1" x14ac:dyDescent="0.35">
      <c r="A12" s="50"/>
      <c r="B12" s="50"/>
      <c r="C12" s="40" t="s">
        <v>30</v>
      </c>
      <c r="D12" s="10" t="s">
        <v>5</v>
      </c>
      <c r="E12" s="10" t="s">
        <v>8</v>
      </c>
      <c r="F12" s="37">
        <v>8</v>
      </c>
      <c r="G12" s="38">
        <v>20000</v>
      </c>
      <c r="H12" s="38">
        <f t="shared" si="5"/>
        <v>160000</v>
      </c>
      <c r="I12" s="38" t="s">
        <v>20</v>
      </c>
      <c r="K12" s="7">
        <v>12600</v>
      </c>
      <c r="L12" s="6">
        <f t="shared" si="0"/>
        <v>100800</v>
      </c>
      <c r="M12" s="64">
        <v>0.1</v>
      </c>
      <c r="N12" s="6">
        <f t="shared" si="2"/>
        <v>14000</v>
      </c>
      <c r="O12" s="6">
        <f t="shared" si="3"/>
        <v>112000</v>
      </c>
      <c r="P12" s="63">
        <f t="shared" si="4"/>
        <v>15400.000000000002</v>
      </c>
    </row>
    <row r="13" spans="1:17" s="1" customFormat="1" x14ac:dyDescent="0.35">
      <c r="A13" s="50"/>
      <c r="B13" s="50"/>
      <c r="C13" s="40" t="s">
        <v>31</v>
      </c>
      <c r="D13" s="10" t="s">
        <v>5</v>
      </c>
      <c r="E13" s="10" t="s">
        <v>8</v>
      </c>
      <c r="F13" s="37">
        <f>F8</f>
        <v>48</v>
      </c>
      <c r="G13" s="38">
        <v>2000</v>
      </c>
      <c r="H13" s="38">
        <f t="shared" si="5"/>
        <v>96000</v>
      </c>
      <c r="I13" s="38" t="s">
        <v>20</v>
      </c>
      <c r="K13" s="7">
        <v>1500</v>
      </c>
      <c r="L13" s="6">
        <f t="shared" si="0"/>
        <v>72000</v>
      </c>
      <c r="M13" s="64">
        <v>0.1</v>
      </c>
      <c r="N13" s="6">
        <f t="shared" si="2"/>
        <v>1666.6666666666665</v>
      </c>
      <c r="O13" s="6">
        <f t="shared" si="3"/>
        <v>80000</v>
      </c>
      <c r="P13" s="63">
        <f t="shared" si="4"/>
        <v>1833.3333333333333</v>
      </c>
    </row>
    <row r="14" spans="1:17" s="1" customFormat="1" ht="33.65" customHeight="1" x14ac:dyDescent="0.35">
      <c r="A14" s="50">
        <v>5</v>
      </c>
      <c r="B14" s="50" t="s">
        <v>4</v>
      </c>
      <c r="C14" s="39" t="s">
        <v>27</v>
      </c>
      <c r="D14" s="10" t="s">
        <v>41</v>
      </c>
      <c r="E14" s="10" t="s">
        <v>17</v>
      </c>
      <c r="F14" s="37">
        <v>100</v>
      </c>
      <c r="G14" s="38">
        <v>18000</v>
      </c>
      <c r="H14" s="38">
        <f t="shared" si="5"/>
        <v>1800000</v>
      </c>
      <c r="I14" s="38" t="s">
        <v>20</v>
      </c>
      <c r="K14" s="7">
        <v>12000</v>
      </c>
      <c r="L14" s="6">
        <f t="shared" si="0"/>
        <v>1200000</v>
      </c>
      <c r="M14" s="64">
        <v>0.1</v>
      </c>
      <c r="N14" s="6">
        <f t="shared" si="2"/>
        <v>13333.333333333332</v>
      </c>
      <c r="O14" s="6">
        <f t="shared" si="3"/>
        <v>1333333.3333333333</v>
      </c>
      <c r="P14" s="63">
        <f t="shared" si="4"/>
        <v>14666.666666666666</v>
      </c>
    </row>
    <row r="15" spans="1:17" s="1" customFormat="1" ht="32.4" customHeight="1" x14ac:dyDescent="0.35">
      <c r="A15" s="50"/>
      <c r="B15" s="50"/>
      <c r="C15" s="39" t="s">
        <v>28</v>
      </c>
      <c r="D15" s="10" t="s">
        <v>41</v>
      </c>
      <c r="E15" s="10" t="s">
        <v>17</v>
      </c>
      <c r="F15" s="37">
        <v>100</v>
      </c>
      <c r="G15" s="38">
        <v>18000</v>
      </c>
      <c r="H15" s="38">
        <f t="shared" si="5"/>
        <v>1800000</v>
      </c>
      <c r="I15" s="38" t="s">
        <v>20</v>
      </c>
      <c r="K15" s="7">
        <v>12000</v>
      </c>
      <c r="L15" s="6">
        <f t="shared" si="0"/>
        <v>1200000</v>
      </c>
      <c r="M15" s="64">
        <v>0.1</v>
      </c>
      <c r="N15" s="6">
        <f t="shared" si="2"/>
        <v>13333.333333333332</v>
      </c>
      <c r="O15" s="6">
        <f t="shared" si="3"/>
        <v>1333333.3333333333</v>
      </c>
      <c r="P15" s="63">
        <f t="shared" si="4"/>
        <v>14666.666666666666</v>
      </c>
    </row>
    <row r="16" spans="1:17" s="1" customFormat="1" ht="43.5" x14ac:dyDescent="0.35">
      <c r="A16" s="50"/>
      <c r="B16" s="50"/>
      <c r="C16" s="39" t="s">
        <v>79</v>
      </c>
      <c r="D16" s="10" t="s">
        <v>80</v>
      </c>
      <c r="E16" s="10" t="s">
        <v>17</v>
      </c>
      <c r="F16" s="37">
        <v>20</v>
      </c>
      <c r="G16" s="38">
        <v>150000</v>
      </c>
      <c r="H16" s="38">
        <f t="shared" si="5"/>
        <v>3000000</v>
      </c>
      <c r="I16" s="38" t="s">
        <v>20</v>
      </c>
      <c r="K16" s="7">
        <f>135000/1.1+100000/20</f>
        <v>127727.27272727272</v>
      </c>
      <c r="L16" s="6">
        <f t="shared" si="0"/>
        <v>2554545.4545454546</v>
      </c>
      <c r="M16" s="64">
        <v>0.1</v>
      </c>
      <c r="N16" s="6">
        <f t="shared" si="2"/>
        <v>141919.19191919192</v>
      </c>
      <c r="O16" s="6">
        <f t="shared" si="3"/>
        <v>2838383.8383838385</v>
      </c>
      <c r="P16" s="63">
        <f t="shared" si="4"/>
        <v>156111.11111111112</v>
      </c>
    </row>
    <row r="17" spans="1:16" s="1" customFormat="1" ht="36" customHeight="1" x14ac:dyDescent="0.35">
      <c r="A17" s="50"/>
      <c r="B17" s="50"/>
      <c r="C17" s="39" t="s">
        <v>67</v>
      </c>
      <c r="D17" s="10" t="s">
        <v>5</v>
      </c>
      <c r="E17" s="10" t="s">
        <v>10</v>
      </c>
      <c r="F17" s="37">
        <v>1</v>
      </c>
      <c r="G17" s="38">
        <v>300000</v>
      </c>
      <c r="H17" s="38">
        <f t="shared" si="5"/>
        <v>300000</v>
      </c>
      <c r="I17" s="38" t="s">
        <v>20</v>
      </c>
      <c r="K17" s="7">
        <v>0</v>
      </c>
      <c r="L17" s="6">
        <f t="shared" si="0"/>
        <v>0</v>
      </c>
      <c r="M17" s="64">
        <v>0.1</v>
      </c>
      <c r="N17" s="6">
        <f t="shared" si="2"/>
        <v>0</v>
      </c>
      <c r="O17" s="6">
        <f t="shared" si="3"/>
        <v>0</v>
      </c>
      <c r="P17" s="63">
        <f t="shared" si="4"/>
        <v>0</v>
      </c>
    </row>
    <row r="18" spans="1:16" s="1" customFormat="1" ht="26" customHeight="1" x14ac:dyDescent="0.35">
      <c r="A18" s="50"/>
      <c r="B18" s="50"/>
      <c r="C18" s="39" t="s">
        <v>16</v>
      </c>
      <c r="D18" s="10" t="s">
        <v>41</v>
      </c>
      <c r="E18" s="10" t="s">
        <v>10</v>
      </c>
      <c r="F18" s="37">
        <v>12</v>
      </c>
      <c r="G18" s="38">
        <v>30000</v>
      </c>
      <c r="H18" s="38">
        <f t="shared" si="5"/>
        <v>360000</v>
      </c>
      <c r="I18" s="38" t="s">
        <v>20</v>
      </c>
      <c r="K18" s="7">
        <v>20000</v>
      </c>
      <c r="L18" s="6">
        <f t="shared" si="0"/>
        <v>240000</v>
      </c>
      <c r="M18" s="64">
        <v>0.1</v>
      </c>
      <c r="N18" s="6">
        <f t="shared" si="2"/>
        <v>22222.222222222223</v>
      </c>
      <c r="O18" s="6">
        <f t="shared" si="3"/>
        <v>266666.66666666669</v>
      </c>
      <c r="P18" s="63">
        <f t="shared" si="4"/>
        <v>24444.444444444445</v>
      </c>
    </row>
    <row r="19" spans="1:16" s="1" customFormat="1" ht="138" customHeight="1" x14ac:dyDescent="0.35">
      <c r="A19" s="10">
        <v>6</v>
      </c>
      <c r="B19" s="10" t="s">
        <v>18</v>
      </c>
      <c r="C19" s="39" t="s">
        <v>89</v>
      </c>
      <c r="D19" s="10" t="s">
        <v>2</v>
      </c>
      <c r="E19" s="10" t="s">
        <v>10</v>
      </c>
      <c r="F19" s="37">
        <v>1</v>
      </c>
      <c r="G19" s="38">
        <v>8500000</v>
      </c>
      <c r="H19" s="38">
        <f t="shared" si="5"/>
        <v>8500000</v>
      </c>
      <c r="I19" s="38" t="s">
        <v>46</v>
      </c>
      <c r="K19" s="7">
        <f>5380000/1.1+1500000</f>
        <v>6390909.0909090908</v>
      </c>
      <c r="L19" s="6">
        <f t="shared" si="0"/>
        <v>6390909.0909090908</v>
      </c>
      <c r="M19" s="64">
        <v>0.1</v>
      </c>
      <c r="N19" s="6">
        <f t="shared" si="2"/>
        <v>7101010.1010101009</v>
      </c>
      <c r="O19" s="6">
        <f t="shared" si="3"/>
        <v>7101010.1010101009</v>
      </c>
      <c r="P19" s="63">
        <f t="shared" si="4"/>
        <v>7811111.1111111119</v>
      </c>
    </row>
    <row r="20" spans="1:16" s="1" customFormat="1" x14ac:dyDescent="0.35">
      <c r="A20" s="50">
        <v>7</v>
      </c>
      <c r="B20" s="52" t="s">
        <v>6</v>
      </c>
      <c r="C20" s="39" t="s">
        <v>47</v>
      </c>
      <c r="D20" s="10" t="s">
        <v>48</v>
      </c>
      <c r="E20" s="10" t="s">
        <v>17</v>
      </c>
      <c r="F20" s="37">
        <v>60</v>
      </c>
      <c r="G20" s="38">
        <v>15000</v>
      </c>
      <c r="H20" s="38">
        <f t="shared" si="5"/>
        <v>900000</v>
      </c>
      <c r="I20" s="38" t="s">
        <v>46</v>
      </c>
      <c r="K20" s="7">
        <v>12000</v>
      </c>
      <c r="L20" s="6">
        <f t="shared" si="0"/>
        <v>720000</v>
      </c>
      <c r="M20" s="64">
        <v>0.1</v>
      </c>
      <c r="N20" s="6">
        <f t="shared" si="2"/>
        <v>13333.333333333332</v>
      </c>
      <c r="O20" s="6">
        <f t="shared" si="3"/>
        <v>799999.99999999988</v>
      </c>
      <c r="P20" s="63">
        <f t="shared" si="4"/>
        <v>14666.666666666666</v>
      </c>
    </row>
    <row r="21" spans="1:16" s="1" customFormat="1" x14ac:dyDescent="0.35">
      <c r="A21" s="50"/>
      <c r="B21" s="52"/>
      <c r="C21" s="39" t="s">
        <v>49</v>
      </c>
      <c r="D21" s="10" t="s">
        <v>5</v>
      </c>
      <c r="E21" s="10" t="s">
        <v>8</v>
      </c>
      <c r="F21" s="37">
        <v>2</v>
      </c>
      <c r="G21" s="38">
        <v>250000</v>
      </c>
      <c r="H21" s="38">
        <f t="shared" si="5"/>
        <v>500000</v>
      </c>
      <c r="I21" s="38" t="s">
        <v>46</v>
      </c>
      <c r="K21" s="7">
        <v>200000</v>
      </c>
      <c r="L21" s="6">
        <f t="shared" si="0"/>
        <v>400000</v>
      </c>
      <c r="M21" s="64">
        <v>0.1</v>
      </c>
      <c r="N21" s="6">
        <f t="shared" si="2"/>
        <v>222222.22222222222</v>
      </c>
      <c r="O21" s="6">
        <f t="shared" si="3"/>
        <v>444444.44444444444</v>
      </c>
      <c r="P21" s="63">
        <f t="shared" si="4"/>
        <v>244444.44444444447</v>
      </c>
    </row>
    <row r="22" spans="1:16" s="1" customFormat="1" x14ac:dyDescent="0.35">
      <c r="A22" s="50"/>
      <c r="B22" s="52"/>
      <c r="C22" s="42" t="s">
        <v>24</v>
      </c>
      <c r="D22" s="10" t="s">
        <v>5</v>
      </c>
      <c r="E22" s="10" t="s">
        <v>17</v>
      </c>
      <c r="F22" s="37">
        <v>60</v>
      </c>
      <c r="G22" s="38">
        <v>15000</v>
      </c>
      <c r="H22" s="38">
        <f t="shared" si="5"/>
        <v>900000</v>
      </c>
      <c r="I22" s="38" t="s">
        <v>46</v>
      </c>
      <c r="K22" s="7">
        <v>12000</v>
      </c>
      <c r="L22" s="6">
        <f t="shared" si="0"/>
        <v>720000</v>
      </c>
      <c r="M22" s="64">
        <v>0.1</v>
      </c>
      <c r="N22" s="6">
        <f t="shared" si="2"/>
        <v>13333.333333333332</v>
      </c>
      <c r="O22" s="6">
        <f t="shared" si="3"/>
        <v>799999.99999999988</v>
      </c>
      <c r="P22" s="63">
        <f t="shared" si="4"/>
        <v>14666.666666666666</v>
      </c>
    </row>
    <row r="23" spans="1:16" s="1" customFormat="1" ht="29" x14ac:dyDescent="0.35">
      <c r="A23" s="50">
        <v>8</v>
      </c>
      <c r="B23" s="50" t="s">
        <v>7</v>
      </c>
      <c r="C23" s="42" t="s">
        <v>29</v>
      </c>
      <c r="D23" s="10" t="s">
        <v>2</v>
      </c>
      <c r="E23" s="10" t="s">
        <v>10</v>
      </c>
      <c r="F23" s="37">
        <v>1</v>
      </c>
      <c r="G23" s="38">
        <v>3000000</v>
      </c>
      <c r="H23" s="38">
        <f t="shared" si="5"/>
        <v>3000000</v>
      </c>
      <c r="I23" s="38"/>
      <c r="K23" s="7">
        <v>2000000</v>
      </c>
      <c r="L23" s="6">
        <f t="shared" si="0"/>
        <v>2000000</v>
      </c>
      <c r="M23" s="64">
        <v>0.1</v>
      </c>
      <c r="N23" s="6">
        <f>K23/(1-M23)</f>
        <v>2222222.222222222</v>
      </c>
      <c r="O23" s="6">
        <f t="shared" si="3"/>
        <v>2222222.222222222</v>
      </c>
      <c r="P23" s="63">
        <f t="shared" si="4"/>
        <v>2444444.4444444445</v>
      </c>
    </row>
    <row r="24" spans="1:16" s="1" customFormat="1" x14ac:dyDescent="0.35">
      <c r="A24" s="50"/>
      <c r="B24" s="51"/>
      <c r="C24" s="40" t="s">
        <v>50</v>
      </c>
      <c r="D24" s="10" t="s">
        <v>2</v>
      </c>
      <c r="E24" s="10" t="s">
        <v>10</v>
      </c>
      <c r="F24" s="37">
        <v>1</v>
      </c>
      <c r="G24" s="38">
        <v>14900000</v>
      </c>
      <c r="H24" s="38">
        <f t="shared" si="5"/>
        <v>14900000</v>
      </c>
      <c r="I24" s="38"/>
      <c r="K24" s="7">
        <f>1000000*16.74+2000000</f>
        <v>18740000</v>
      </c>
      <c r="L24" s="6">
        <f t="shared" si="0"/>
        <v>18740000</v>
      </c>
      <c r="M24" s="64">
        <v>0.1</v>
      </c>
      <c r="N24" s="6">
        <f t="shared" si="2"/>
        <v>20822222.22222222</v>
      </c>
      <c r="O24" s="6">
        <f t="shared" si="3"/>
        <v>20822222.22222222</v>
      </c>
      <c r="P24" s="63">
        <f t="shared" si="4"/>
        <v>22904444.444444444</v>
      </c>
    </row>
    <row r="25" spans="1:16" s="1" customFormat="1" ht="25.75" customHeight="1" x14ac:dyDescent="0.35">
      <c r="A25" s="51" t="s">
        <v>51</v>
      </c>
      <c r="B25" s="51"/>
      <c r="C25" s="51"/>
      <c r="D25" s="51"/>
      <c r="E25" s="51"/>
      <c r="F25" s="43"/>
      <c r="G25" s="43"/>
      <c r="H25" s="44">
        <f>SUM(H2:H24)</f>
        <v>219188000</v>
      </c>
      <c r="I25" s="39"/>
      <c r="K25" s="9" t="s">
        <v>71</v>
      </c>
      <c r="L25" s="57">
        <f>SUM(L2:L24)</f>
        <v>164103234.54545453</v>
      </c>
      <c r="M25" s="57"/>
      <c r="N25" s="57"/>
      <c r="O25" s="57">
        <f>SUM(O2:O24)</f>
        <v>190333649.6732026</v>
      </c>
      <c r="P25" s="57"/>
    </row>
    <row r="26" spans="1:16" ht="27.65" customHeight="1" x14ac:dyDescent="0.5">
      <c r="K26" s="9" t="s">
        <v>72</v>
      </c>
      <c r="L26" s="57">
        <f>L25*1.1</f>
        <v>180513558</v>
      </c>
      <c r="M26" s="57"/>
      <c r="N26" s="57"/>
      <c r="O26" s="57">
        <f>O25*1.1</f>
        <v>209367014.64052287</v>
      </c>
      <c r="P26" s="57"/>
    </row>
  </sheetData>
  <mergeCells count="11">
    <mergeCell ref="A25:E25"/>
    <mergeCell ref="A20:A22"/>
    <mergeCell ref="B20:B22"/>
    <mergeCell ref="A7:A13"/>
    <mergeCell ref="B7:B13"/>
    <mergeCell ref="A14:A18"/>
    <mergeCell ref="B14:B18"/>
    <mergeCell ref="A23:A24"/>
    <mergeCell ref="B23:B24"/>
    <mergeCell ref="A4:A6"/>
    <mergeCell ref="B4:B6"/>
  </mergeCells>
  <phoneticPr fontId="1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419E-1F09-457E-8DA1-7A59A2C4A22B}">
  <dimension ref="A1:Q28"/>
  <sheetViews>
    <sheetView topLeftCell="A4" zoomScale="80" zoomScaleNormal="80" workbookViewId="0">
      <selection activeCell="F22" sqref="F22:F24"/>
    </sheetView>
  </sheetViews>
  <sheetFormatPr defaultColWidth="15.7265625" defaultRowHeight="21" x14ac:dyDescent="0.5"/>
  <cols>
    <col min="1" max="1" width="4.7265625" style="2" bestFit="1" customWidth="1"/>
    <col min="2" max="2" width="16.36328125" style="3" customWidth="1"/>
    <col min="3" max="3" width="49.81640625" style="2" customWidth="1"/>
    <col min="4" max="4" width="13.26953125" style="4" customWidth="1"/>
    <col min="5" max="5" width="11.1796875" style="4" customWidth="1"/>
    <col min="6" max="8" width="16.453125" style="4" customWidth="1"/>
    <col min="9" max="9" width="12.81640625" style="5" customWidth="1"/>
    <col min="10" max="10" width="15.7265625" style="2"/>
    <col min="11" max="11" width="20.1796875" style="5" customWidth="1"/>
    <col min="12" max="12" width="15.6328125" style="5" bestFit="1" customWidth="1"/>
    <col min="13" max="13" width="15.26953125" style="5" customWidth="1"/>
    <col min="14" max="14" width="18.54296875" style="5" customWidth="1"/>
    <col min="15" max="15" width="15.90625" style="5" bestFit="1" customWidth="1"/>
    <col min="16" max="16" width="23.2695312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56</v>
      </c>
      <c r="O1" s="53" t="s">
        <v>57</v>
      </c>
      <c r="P1" s="65" t="s">
        <v>73</v>
      </c>
      <c r="Q1" s="8"/>
    </row>
    <row r="2" spans="1:17" s="1" customFormat="1" ht="91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18</v>
      </c>
      <c r="G2" s="38">
        <v>2100000</v>
      </c>
      <c r="H2" s="38">
        <f>F2*G2</f>
        <v>37800000</v>
      </c>
      <c r="I2" s="38" t="s">
        <v>19</v>
      </c>
      <c r="J2" s="1">
        <f>18*620</f>
        <v>11160</v>
      </c>
      <c r="K2" s="54">
        <f>54*25500*(1+2%)</f>
        <v>1404540</v>
      </c>
      <c r="L2" s="6">
        <f t="shared" ref="L2:L26" si="0">F2*K2</f>
        <v>25281720</v>
      </c>
      <c r="M2" s="64">
        <v>0.15</v>
      </c>
      <c r="N2" s="6">
        <f>K2/(1-M2)</f>
        <v>1652400</v>
      </c>
      <c r="O2" s="6">
        <f>N2*F2</f>
        <v>29743200</v>
      </c>
      <c r="P2" s="63">
        <f>N2*1.1</f>
        <v>1817640.0000000002</v>
      </c>
    </row>
    <row r="3" spans="1:17" s="1" customFormat="1" ht="83" customHeight="1" x14ac:dyDescent="0.35">
      <c r="A3" s="10">
        <v>2</v>
      </c>
      <c r="B3" s="10" t="s">
        <v>23</v>
      </c>
      <c r="C3" s="36" t="s">
        <v>83</v>
      </c>
      <c r="D3" s="10" t="s">
        <v>34</v>
      </c>
      <c r="E3" s="37" t="s">
        <v>10</v>
      </c>
      <c r="F3" s="37">
        <v>1</v>
      </c>
      <c r="G3" s="38">
        <v>41600000</v>
      </c>
      <c r="H3" s="38">
        <f t="shared" ref="H3:H8" si="1">F3*G3</f>
        <v>41600000</v>
      </c>
      <c r="I3" s="38" t="s">
        <v>20</v>
      </c>
      <c r="K3" s="7">
        <f>34240000/1.1</f>
        <v>31127272.727272727</v>
      </c>
      <c r="L3" s="6">
        <f t="shared" si="0"/>
        <v>31127272.727272727</v>
      </c>
      <c r="M3" s="64">
        <v>0.15</v>
      </c>
      <c r="N3" s="6">
        <f t="shared" ref="N3:N26" si="2">K3/(1-M3)</f>
        <v>36620320.855614975</v>
      </c>
      <c r="O3" s="6">
        <f t="shared" ref="O3:O26" si="3">N3*F3</f>
        <v>36620320.855614975</v>
      </c>
      <c r="P3" s="63">
        <f t="shared" ref="P3:P26" si="4">N3*1.1</f>
        <v>40282352.941176474</v>
      </c>
    </row>
    <row r="4" spans="1:17" s="1" customFormat="1" ht="71.400000000000006" customHeight="1" x14ac:dyDescent="0.35">
      <c r="A4" s="50">
        <v>3</v>
      </c>
      <c r="B4" s="50" t="s">
        <v>12</v>
      </c>
      <c r="C4" s="36" t="s">
        <v>84</v>
      </c>
      <c r="D4" s="10" t="s">
        <v>85</v>
      </c>
      <c r="E4" s="37" t="s">
        <v>10</v>
      </c>
      <c r="F4" s="37">
        <v>2</v>
      </c>
      <c r="G4" s="38">
        <v>25000000</v>
      </c>
      <c r="H4" s="38">
        <f t="shared" si="1"/>
        <v>50000000</v>
      </c>
      <c r="I4" s="38" t="s">
        <v>20</v>
      </c>
      <c r="K4" s="7">
        <f>20324000/1.1</f>
        <v>18476363.636363637</v>
      </c>
      <c r="L4" s="6">
        <f t="shared" si="0"/>
        <v>36952727.272727273</v>
      </c>
      <c r="M4" s="64">
        <v>0.15</v>
      </c>
      <c r="N4" s="6">
        <f t="shared" si="2"/>
        <v>21736898.395721927</v>
      </c>
      <c r="O4" s="6">
        <f t="shared" si="3"/>
        <v>43473796.791443855</v>
      </c>
      <c r="P4" s="63">
        <f t="shared" si="4"/>
        <v>23910588.235294122</v>
      </c>
    </row>
    <row r="5" spans="1:17" s="1" customFormat="1" ht="30.5" customHeight="1" x14ac:dyDescent="0.35">
      <c r="A5" s="50"/>
      <c r="B5" s="50"/>
      <c r="C5" s="36" t="s">
        <v>86</v>
      </c>
      <c r="D5" s="10" t="s">
        <v>85</v>
      </c>
      <c r="E5" s="37" t="s">
        <v>10</v>
      </c>
      <c r="F5" s="37">
        <v>1</v>
      </c>
      <c r="G5" s="38">
        <v>19850000</v>
      </c>
      <c r="H5" s="38">
        <f t="shared" si="1"/>
        <v>19850000</v>
      </c>
      <c r="I5" s="38" t="s">
        <v>20</v>
      </c>
      <c r="K5" s="7">
        <f>16345000/1.1</f>
        <v>14859090.909090908</v>
      </c>
      <c r="L5" s="6">
        <f t="shared" ref="L5:L8" si="5">F5*K5</f>
        <v>14859090.909090908</v>
      </c>
      <c r="M5" s="64">
        <v>0.15</v>
      </c>
      <c r="N5" s="6">
        <f t="shared" ref="N5:N8" si="6">K5/(1-M5)</f>
        <v>17481283.422459893</v>
      </c>
      <c r="O5" s="6">
        <f t="shared" ref="O5:O8" si="7">N5*F5</f>
        <v>17481283.422459893</v>
      </c>
      <c r="P5" s="63">
        <f t="shared" ref="P5:P8" si="8">N5*1.1</f>
        <v>19229411.764705885</v>
      </c>
    </row>
    <row r="6" spans="1:17" s="1" customFormat="1" ht="30.5" customHeight="1" x14ac:dyDescent="0.35">
      <c r="A6" s="50"/>
      <c r="B6" s="50"/>
      <c r="C6" s="36" t="s">
        <v>87</v>
      </c>
      <c r="D6" s="10" t="s">
        <v>85</v>
      </c>
      <c r="E6" s="37" t="s">
        <v>10</v>
      </c>
      <c r="F6" s="37">
        <v>1</v>
      </c>
      <c r="G6" s="38">
        <v>1950000</v>
      </c>
      <c r="H6" s="38">
        <f t="shared" si="1"/>
        <v>1950000</v>
      </c>
      <c r="I6" s="38" t="s">
        <v>20</v>
      </c>
      <c r="K6" s="7">
        <f>1736000/1.1</f>
        <v>1578181.8181818181</v>
      </c>
      <c r="L6" s="6">
        <f t="shared" si="5"/>
        <v>1578181.8181818181</v>
      </c>
      <c r="M6" s="64">
        <v>0.15</v>
      </c>
      <c r="N6" s="6">
        <f t="shared" si="6"/>
        <v>1856684.4919786097</v>
      </c>
      <c r="O6" s="6">
        <f t="shared" si="7"/>
        <v>1856684.4919786097</v>
      </c>
      <c r="P6" s="63">
        <f t="shared" si="8"/>
        <v>2042352.9411764708</v>
      </c>
    </row>
    <row r="7" spans="1:17" s="1" customFormat="1" ht="26.4" customHeight="1" x14ac:dyDescent="0.35">
      <c r="A7" s="50"/>
      <c r="B7" s="50"/>
      <c r="C7" s="39" t="s">
        <v>88</v>
      </c>
      <c r="D7" s="10" t="s">
        <v>2</v>
      </c>
      <c r="E7" s="10" t="s">
        <v>10</v>
      </c>
      <c r="F7" s="37">
        <v>1</v>
      </c>
      <c r="G7" s="38">
        <v>800000</v>
      </c>
      <c r="H7" s="38">
        <f t="shared" si="1"/>
        <v>800000</v>
      </c>
      <c r="I7" s="38" t="s">
        <v>20</v>
      </c>
      <c r="K7" s="7">
        <v>0</v>
      </c>
      <c r="L7" s="6">
        <f t="shared" si="5"/>
        <v>0</v>
      </c>
      <c r="M7" s="64">
        <v>0.15</v>
      </c>
      <c r="N7" s="6">
        <f t="shared" si="6"/>
        <v>0</v>
      </c>
      <c r="O7" s="6">
        <f t="shared" si="7"/>
        <v>0</v>
      </c>
      <c r="P7" s="63">
        <f t="shared" si="8"/>
        <v>0</v>
      </c>
    </row>
    <row r="8" spans="1:17" s="1" customFormat="1" ht="26.4" customHeight="1" x14ac:dyDescent="0.35">
      <c r="A8" s="50"/>
      <c r="B8" s="50"/>
      <c r="C8" s="39" t="s">
        <v>38</v>
      </c>
      <c r="D8" s="10" t="s">
        <v>5</v>
      </c>
      <c r="E8" s="10" t="s">
        <v>8</v>
      </c>
      <c r="F8" s="37">
        <v>1</v>
      </c>
      <c r="G8" s="38">
        <v>100000</v>
      </c>
      <c r="H8" s="38">
        <f t="shared" si="1"/>
        <v>100000</v>
      </c>
      <c r="I8" s="38" t="s">
        <v>20</v>
      </c>
      <c r="K8" s="7">
        <v>0</v>
      </c>
      <c r="L8" s="6">
        <f t="shared" si="5"/>
        <v>0</v>
      </c>
      <c r="M8" s="64">
        <v>0.15</v>
      </c>
      <c r="N8" s="6">
        <f t="shared" si="6"/>
        <v>0</v>
      </c>
      <c r="O8" s="6">
        <f t="shared" si="7"/>
        <v>0</v>
      </c>
      <c r="P8" s="63">
        <f t="shared" si="8"/>
        <v>0</v>
      </c>
    </row>
    <row r="9" spans="1:17" s="1" customFormat="1" x14ac:dyDescent="0.35">
      <c r="A9" s="50">
        <v>4</v>
      </c>
      <c r="B9" s="50" t="s">
        <v>3</v>
      </c>
      <c r="C9" s="40" t="s">
        <v>0</v>
      </c>
      <c r="D9" s="10" t="s">
        <v>5</v>
      </c>
      <c r="E9" s="10" t="s">
        <v>8</v>
      </c>
      <c r="F9" s="37">
        <v>20</v>
      </c>
      <c r="G9" s="38">
        <v>11000</v>
      </c>
      <c r="H9" s="38">
        <f t="shared" ref="H7:H28" si="9">F9*G9</f>
        <v>220000</v>
      </c>
      <c r="I9" s="38" t="s">
        <v>20</v>
      </c>
      <c r="J9" s="41" t="s">
        <v>74</v>
      </c>
      <c r="K9" s="7">
        <v>8800</v>
      </c>
      <c r="L9" s="6">
        <f t="shared" si="0"/>
        <v>176000</v>
      </c>
      <c r="M9" s="64">
        <v>0.1</v>
      </c>
      <c r="N9" s="6">
        <f t="shared" si="2"/>
        <v>9777.7777777777774</v>
      </c>
      <c r="O9" s="6">
        <f t="shared" si="3"/>
        <v>195555.55555555556</v>
      </c>
      <c r="P9" s="63">
        <f t="shared" si="4"/>
        <v>10755.555555555557</v>
      </c>
    </row>
    <row r="10" spans="1:17" s="1" customFormat="1" x14ac:dyDescent="0.35">
      <c r="A10" s="50"/>
      <c r="B10" s="50"/>
      <c r="C10" s="40" t="s">
        <v>13</v>
      </c>
      <c r="D10" s="10" t="s">
        <v>5</v>
      </c>
      <c r="E10" s="10" t="s">
        <v>8</v>
      </c>
      <c r="F10" s="37">
        <v>32</v>
      </c>
      <c r="G10" s="38">
        <v>11000</v>
      </c>
      <c r="H10" s="38">
        <f t="shared" si="9"/>
        <v>352000</v>
      </c>
      <c r="I10" s="38" t="s">
        <v>20</v>
      </c>
      <c r="K10" s="7">
        <v>8800</v>
      </c>
      <c r="L10" s="6">
        <f t="shared" si="0"/>
        <v>281600</v>
      </c>
      <c r="M10" s="64">
        <v>0.1</v>
      </c>
      <c r="N10" s="6">
        <f t="shared" si="2"/>
        <v>9777.7777777777774</v>
      </c>
      <c r="O10" s="6">
        <f t="shared" si="3"/>
        <v>312888.88888888888</v>
      </c>
      <c r="P10" s="63">
        <f t="shared" si="4"/>
        <v>10755.555555555557</v>
      </c>
    </row>
    <row r="11" spans="1:17" s="1" customFormat="1" x14ac:dyDescent="0.35">
      <c r="A11" s="50"/>
      <c r="B11" s="50"/>
      <c r="C11" s="40" t="s">
        <v>40</v>
      </c>
      <c r="D11" s="10" t="s">
        <v>5</v>
      </c>
      <c r="E11" s="10" t="s">
        <v>8</v>
      </c>
      <c r="F11" s="37">
        <v>11</v>
      </c>
      <c r="G11" s="38">
        <v>360000</v>
      </c>
      <c r="H11" s="38">
        <f t="shared" si="9"/>
        <v>3960000</v>
      </c>
      <c r="I11" s="38" t="s">
        <v>20</v>
      </c>
      <c r="J11" s="1">
        <f>18*2*1.2/4.2</f>
        <v>10.285714285714285</v>
      </c>
      <c r="K11" s="7">
        <v>294000</v>
      </c>
      <c r="L11" s="6">
        <f t="shared" si="0"/>
        <v>3234000</v>
      </c>
      <c r="M11" s="64">
        <v>0.1</v>
      </c>
      <c r="N11" s="6">
        <f t="shared" si="2"/>
        <v>326666.66666666669</v>
      </c>
      <c r="O11" s="6">
        <f t="shared" si="3"/>
        <v>3593333.3333333335</v>
      </c>
      <c r="P11" s="63">
        <f t="shared" si="4"/>
        <v>359333.33333333337</v>
      </c>
    </row>
    <row r="12" spans="1:17" s="1" customFormat="1" x14ac:dyDescent="0.35">
      <c r="A12" s="50"/>
      <c r="B12" s="50"/>
      <c r="C12" s="40" t="s">
        <v>25</v>
      </c>
      <c r="D12" s="10" t="s">
        <v>5</v>
      </c>
      <c r="E12" s="10" t="s">
        <v>8</v>
      </c>
      <c r="F12" s="37">
        <v>11</v>
      </c>
      <c r="G12" s="38">
        <v>20000</v>
      </c>
      <c r="H12" s="38">
        <f t="shared" si="9"/>
        <v>220000</v>
      </c>
      <c r="I12" s="38" t="s">
        <v>20</v>
      </c>
      <c r="K12" s="7">
        <v>12800</v>
      </c>
      <c r="L12" s="6">
        <f t="shared" si="0"/>
        <v>140800</v>
      </c>
      <c r="M12" s="64">
        <v>0.1</v>
      </c>
      <c r="N12" s="6">
        <f t="shared" si="2"/>
        <v>14222.222222222223</v>
      </c>
      <c r="O12" s="6">
        <f t="shared" si="3"/>
        <v>156444.44444444444</v>
      </c>
      <c r="P12" s="63">
        <f t="shared" si="4"/>
        <v>15644.444444444445</v>
      </c>
    </row>
    <row r="13" spans="1:17" s="1" customFormat="1" x14ac:dyDescent="0.35">
      <c r="A13" s="50"/>
      <c r="B13" s="50"/>
      <c r="C13" s="40" t="s">
        <v>26</v>
      </c>
      <c r="D13" s="10" t="s">
        <v>5</v>
      </c>
      <c r="E13" s="10" t="s">
        <v>8</v>
      </c>
      <c r="F13" s="37">
        <v>66</v>
      </c>
      <c r="G13" s="38">
        <v>20000</v>
      </c>
      <c r="H13" s="38">
        <f t="shared" si="9"/>
        <v>1320000</v>
      </c>
      <c r="I13" s="38" t="s">
        <v>20</v>
      </c>
      <c r="K13" s="7">
        <v>16000</v>
      </c>
      <c r="L13" s="6">
        <f t="shared" si="0"/>
        <v>1056000</v>
      </c>
      <c r="M13" s="64">
        <v>0.1</v>
      </c>
      <c r="N13" s="6">
        <f t="shared" si="2"/>
        <v>17777.777777777777</v>
      </c>
      <c r="O13" s="6">
        <f t="shared" si="3"/>
        <v>1173333.3333333333</v>
      </c>
      <c r="P13" s="63">
        <f t="shared" si="4"/>
        <v>19555.555555555558</v>
      </c>
    </row>
    <row r="14" spans="1:17" s="1" customFormat="1" x14ac:dyDescent="0.35">
      <c r="A14" s="50"/>
      <c r="B14" s="50"/>
      <c r="C14" s="40" t="s">
        <v>30</v>
      </c>
      <c r="D14" s="10" t="s">
        <v>5</v>
      </c>
      <c r="E14" s="10" t="s">
        <v>8</v>
      </c>
      <c r="F14" s="37">
        <v>6</v>
      </c>
      <c r="G14" s="38">
        <v>20000</v>
      </c>
      <c r="H14" s="38">
        <f t="shared" si="9"/>
        <v>120000</v>
      </c>
      <c r="I14" s="38" t="s">
        <v>20</v>
      </c>
      <c r="K14" s="7">
        <v>12600</v>
      </c>
      <c r="L14" s="6">
        <f t="shared" si="0"/>
        <v>75600</v>
      </c>
      <c r="M14" s="64">
        <v>0.1</v>
      </c>
      <c r="N14" s="6">
        <f t="shared" si="2"/>
        <v>14000</v>
      </c>
      <c r="O14" s="6">
        <f t="shared" si="3"/>
        <v>84000</v>
      </c>
      <c r="P14" s="63">
        <f t="shared" si="4"/>
        <v>15400.000000000002</v>
      </c>
    </row>
    <row r="15" spans="1:17" s="1" customFormat="1" x14ac:dyDescent="0.35">
      <c r="A15" s="50"/>
      <c r="B15" s="50"/>
      <c r="C15" s="40" t="s">
        <v>31</v>
      </c>
      <c r="D15" s="10" t="s">
        <v>5</v>
      </c>
      <c r="E15" s="10" t="s">
        <v>8</v>
      </c>
      <c r="F15" s="37">
        <f>F10</f>
        <v>32</v>
      </c>
      <c r="G15" s="38">
        <v>2000</v>
      </c>
      <c r="H15" s="38">
        <f t="shared" si="9"/>
        <v>64000</v>
      </c>
      <c r="I15" s="38" t="s">
        <v>20</v>
      </c>
      <c r="K15" s="7">
        <v>1500</v>
      </c>
      <c r="L15" s="6">
        <f t="shared" si="0"/>
        <v>48000</v>
      </c>
      <c r="M15" s="64">
        <v>0.1</v>
      </c>
      <c r="N15" s="6">
        <f t="shared" si="2"/>
        <v>1666.6666666666665</v>
      </c>
      <c r="O15" s="6">
        <f t="shared" si="3"/>
        <v>53333.333333333328</v>
      </c>
      <c r="P15" s="63">
        <f t="shared" si="4"/>
        <v>1833.3333333333333</v>
      </c>
    </row>
    <row r="16" spans="1:17" s="1" customFormat="1" ht="33.65" customHeight="1" x14ac:dyDescent="0.35">
      <c r="A16" s="50">
        <v>5</v>
      </c>
      <c r="B16" s="50" t="s">
        <v>4</v>
      </c>
      <c r="C16" s="39" t="s">
        <v>27</v>
      </c>
      <c r="D16" s="10" t="s">
        <v>41</v>
      </c>
      <c r="E16" s="10" t="s">
        <v>17</v>
      </c>
      <c r="F16" s="37">
        <v>100</v>
      </c>
      <c r="G16" s="38">
        <v>18000</v>
      </c>
      <c r="H16" s="38">
        <f t="shared" si="9"/>
        <v>1800000</v>
      </c>
      <c r="I16" s="38" t="s">
        <v>20</v>
      </c>
      <c r="K16" s="7">
        <v>12000</v>
      </c>
      <c r="L16" s="6">
        <f t="shared" si="0"/>
        <v>1200000</v>
      </c>
      <c r="M16" s="64">
        <v>0.1</v>
      </c>
      <c r="N16" s="6">
        <f t="shared" si="2"/>
        <v>13333.333333333332</v>
      </c>
      <c r="O16" s="6">
        <f t="shared" si="3"/>
        <v>1333333.3333333333</v>
      </c>
      <c r="P16" s="63">
        <f t="shared" si="4"/>
        <v>14666.666666666666</v>
      </c>
    </row>
    <row r="17" spans="1:16" s="1" customFormat="1" ht="32.4" customHeight="1" x14ac:dyDescent="0.35">
      <c r="A17" s="50"/>
      <c r="B17" s="50"/>
      <c r="C17" s="39" t="s">
        <v>28</v>
      </c>
      <c r="D17" s="10" t="s">
        <v>41</v>
      </c>
      <c r="E17" s="10" t="s">
        <v>17</v>
      </c>
      <c r="F17" s="37">
        <v>100</v>
      </c>
      <c r="G17" s="38">
        <v>18000</v>
      </c>
      <c r="H17" s="38">
        <f t="shared" si="9"/>
        <v>1800000</v>
      </c>
      <c r="I17" s="38" t="s">
        <v>20</v>
      </c>
      <c r="K17" s="7">
        <v>12000</v>
      </c>
      <c r="L17" s="6">
        <f t="shared" si="0"/>
        <v>1200000</v>
      </c>
      <c r="M17" s="64">
        <v>0.1</v>
      </c>
      <c r="N17" s="6">
        <f t="shared" si="2"/>
        <v>13333.333333333332</v>
      </c>
      <c r="O17" s="6">
        <f t="shared" si="3"/>
        <v>1333333.3333333333</v>
      </c>
      <c r="P17" s="63">
        <f t="shared" si="4"/>
        <v>14666.666666666666</v>
      </c>
    </row>
    <row r="18" spans="1:16" s="1" customFormat="1" ht="43.5" x14ac:dyDescent="0.35">
      <c r="A18" s="50"/>
      <c r="B18" s="50"/>
      <c r="C18" s="39" t="s">
        <v>79</v>
      </c>
      <c r="D18" s="10" t="s">
        <v>80</v>
      </c>
      <c r="E18" s="10" t="s">
        <v>17</v>
      </c>
      <c r="F18" s="37">
        <v>20</v>
      </c>
      <c r="G18" s="38">
        <v>150000</v>
      </c>
      <c r="H18" s="38">
        <f t="shared" si="9"/>
        <v>3000000</v>
      </c>
      <c r="I18" s="38" t="s">
        <v>20</v>
      </c>
      <c r="K18" s="7">
        <f>135000/1.1+100000/20</f>
        <v>127727.27272727272</v>
      </c>
      <c r="L18" s="6">
        <f t="shared" si="0"/>
        <v>2554545.4545454546</v>
      </c>
      <c r="M18" s="64">
        <v>0.1</v>
      </c>
      <c r="N18" s="6">
        <f t="shared" si="2"/>
        <v>141919.19191919192</v>
      </c>
      <c r="O18" s="6">
        <f t="shared" si="3"/>
        <v>2838383.8383838385</v>
      </c>
      <c r="P18" s="63">
        <f t="shared" si="4"/>
        <v>156111.11111111112</v>
      </c>
    </row>
    <row r="19" spans="1:16" s="1" customFormat="1" ht="36" customHeight="1" x14ac:dyDescent="0.35">
      <c r="A19" s="50"/>
      <c r="B19" s="50"/>
      <c r="C19" s="39" t="s">
        <v>67</v>
      </c>
      <c r="D19" s="10" t="s">
        <v>5</v>
      </c>
      <c r="E19" s="10" t="s">
        <v>10</v>
      </c>
      <c r="F19" s="37">
        <v>1</v>
      </c>
      <c r="G19" s="38">
        <v>300000</v>
      </c>
      <c r="H19" s="38">
        <f t="shared" si="9"/>
        <v>300000</v>
      </c>
      <c r="I19" s="38" t="s">
        <v>20</v>
      </c>
      <c r="K19" s="7">
        <v>0</v>
      </c>
      <c r="L19" s="6">
        <f t="shared" si="0"/>
        <v>0</v>
      </c>
      <c r="M19" s="64">
        <v>0.1</v>
      </c>
      <c r="N19" s="6">
        <f t="shared" si="2"/>
        <v>0</v>
      </c>
      <c r="O19" s="6">
        <f t="shared" si="3"/>
        <v>0</v>
      </c>
      <c r="P19" s="63">
        <f t="shared" si="4"/>
        <v>0</v>
      </c>
    </row>
    <row r="20" spans="1:16" s="1" customFormat="1" ht="26" customHeight="1" x14ac:dyDescent="0.35">
      <c r="A20" s="50"/>
      <c r="B20" s="50"/>
      <c r="C20" s="39" t="s">
        <v>16</v>
      </c>
      <c r="D20" s="10" t="s">
        <v>41</v>
      </c>
      <c r="E20" s="10" t="s">
        <v>10</v>
      </c>
      <c r="F20" s="37">
        <v>10</v>
      </c>
      <c r="G20" s="38">
        <v>30000</v>
      </c>
      <c r="H20" s="38">
        <f t="shared" si="9"/>
        <v>300000</v>
      </c>
      <c r="I20" s="38" t="s">
        <v>20</v>
      </c>
      <c r="K20" s="7">
        <v>20000</v>
      </c>
      <c r="L20" s="6">
        <f t="shared" si="0"/>
        <v>200000</v>
      </c>
      <c r="M20" s="64">
        <v>0.1</v>
      </c>
      <c r="N20" s="6">
        <f t="shared" si="2"/>
        <v>22222.222222222223</v>
      </c>
      <c r="O20" s="6">
        <f t="shared" si="3"/>
        <v>222222.22222222222</v>
      </c>
      <c r="P20" s="63">
        <f t="shared" si="4"/>
        <v>24444.444444444445</v>
      </c>
    </row>
    <row r="21" spans="1:16" s="1" customFormat="1" ht="138" customHeight="1" x14ac:dyDescent="0.35">
      <c r="A21" s="10">
        <v>6</v>
      </c>
      <c r="B21" s="10" t="s">
        <v>18</v>
      </c>
      <c r="C21" s="39" t="s">
        <v>90</v>
      </c>
      <c r="D21" s="10" t="s">
        <v>2</v>
      </c>
      <c r="E21" s="10" t="s">
        <v>10</v>
      </c>
      <c r="F21" s="37">
        <v>1</v>
      </c>
      <c r="G21" s="38">
        <v>8500000</v>
      </c>
      <c r="H21" s="38">
        <f t="shared" si="9"/>
        <v>8500000</v>
      </c>
      <c r="I21" s="38" t="s">
        <v>46</v>
      </c>
      <c r="K21" s="7">
        <f>5380000/1.1+1500000</f>
        <v>6390909.0909090908</v>
      </c>
      <c r="L21" s="6">
        <f t="shared" si="0"/>
        <v>6390909.0909090908</v>
      </c>
      <c r="M21" s="64">
        <v>0.1</v>
      </c>
      <c r="N21" s="6">
        <f t="shared" si="2"/>
        <v>7101010.1010101009</v>
      </c>
      <c r="O21" s="6">
        <f t="shared" si="3"/>
        <v>7101010.1010101009</v>
      </c>
      <c r="P21" s="63">
        <f t="shared" si="4"/>
        <v>7811111.1111111119</v>
      </c>
    </row>
    <row r="22" spans="1:16" s="1" customFormat="1" x14ac:dyDescent="0.35">
      <c r="A22" s="50">
        <v>7</v>
      </c>
      <c r="B22" s="52" t="s">
        <v>6</v>
      </c>
      <c r="C22" s="39" t="s">
        <v>47</v>
      </c>
      <c r="D22" s="10" t="s">
        <v>48</v>
      </c>
      <c r="E22" s="10" t="s">
        <v>17</v>
      </c>
      <c r="F22" s="37">
        <v>60</v>
      </c>
      <c r="G22" s="38">
        <v>15000</v>
      </c>
      <c r="H22" s="38">
        <f t="shared" si="9"/>
        <v>900000</v>
      </c>
      <c r="I22" s="38" t="s">
        <v>46</v>
      </c>
      <c r="K22" s="7">
        <v>12000</v>
      </c>
      <c r="L22" s="6">
        <f t="shared" si="0"/>
        <v>720000</v>
      </c>
      <c r="M22" s="64">
        <v>0.1</v>
      </c>
      <c r="N22" s="6">
        <f t="shared" si="2"/>
        <v>13333.333333333332</v>
      </c>
      <c r="O22" s="6">
        <f t="shared" si="3"/>
        <v>799999.99999999988</v>
      </c>
      <c r="P22" s="63">
        <f t="shared" si="4"/>
        <v>14666.666666666666</v>
      </c>
    </row>
    <row r="23" spans="1:16" s="1" customFormat="1" x14ac:dyDescent="0.35">
      <c r="A23" s="50"/>
      <c r="B23" s="52"/>
      <c r="C23" s="39" t="s">
        <v>49</v>
      </c>
      <c r="D23" s="10" t="s">
        <v>5</v>
      </c>
      <c r="E23" s="10" t="s">
        <v>8</v>
      </c>
      <c r="F23" s="37">
        <v>2</v>
      </c>
      <c r="G23" s="38">
        <v>250000</v>
      </c>
      <c r="H23" s="38">
        <f t="shared" si="9"/>
        <v>500000</v>
      </c>
      <c r="I23" s="38" t="s">
        <v>46</v>
      </c>
      <c r="K23" s="7">
        <v>200000</v>
      </c>
      <c r="L23" s="6">
        <f t="shared" si="0"/>
        <v>400000</v>
      </c>
      <c r="M23" s="64">
        <v>0.1</v>
      </c>
      <c r="N23" s="6">
        <f t="shared" si="2"/>
        <v>222222.22222222222</v>
      </c>
      <c r="O23" s="6">
        <f t="shared" si="3"/>
        <v>444444.44444444444</v>
      </c>
      <c r="P23" s="63">
        <f t="shared" si="4"/>
        <v>244444.44444444447</v>
      </c>
    </row>
    <row r="24" spans="1:16" s="1" customFormat="1" x14ac:dyDescent="0.35">
      <c r="A24" s="50"/>
      <c r="B24" s="52"/>
      <c r="C24" s="42" t="s">
        <v>24</v>
      </c>
      <c r="D24" s="10" t="s">
        <v>5</v>
      </c>
      <c r="E24" s="10" t="s">
        <v>17</v>
      </c>
      <c r="F24" s="37">
        <v>60</v>
      </c>
      <c r="G24" s="38">
        <v>15000</v>
      </c>
      <c r="H24" s="38">
        <f t="shared" si="9"/>
        <v>900000</v>
      </c>
      <c r="I24" s="38" t="s">
        <v>46</v>
      </c>
      <c r="K24" s="7">
        <v>12000</v>
      </c>
      <c r="L24" s="6">
        <f t="shared" si="0"/>
        <v>720000</v>
      </c>
      <c r="M24" s="64">
        <v>0.1</v>
      </c>
      <c r="N24" s="6">
        <f t="shared" si="2"/>
        <v>13333.333333333332</v>
      </c>
      <c r="O24" s="6">
        <f t="shared" si="3"/>
        <v>799999.99999999988</v>
      </c>
      <c r="P24" s="63">
        <f t="shared" si="4"/>
        <v>14666.666666666666</v>
      </c>
    </row>
    <row r="25" spans="1:16" s="1" customFormat="1" ht="29" x14ac:dyDescent="0.35">
      <c r="A25" s="50">
        <v>8</v>
      </c>
      <c r="B25" s="50" t="s">
        <v>7</v>
      </c>
      <c r="C25" s="42" t="s">
        <v>29</v>
      </c>
      <c r="D25" s="10" t="s">
        <v>2</v>
      </c>
      <c r="E25" s="10" t="s">
        <v>10</v>
      </c>
      <c r="F25" s="37">
        <v>1</v>
      </c>
      <c r="G25" s="38">
        <v>2000000</v>
      </c>
      <c r="H25" s="38">
        <f t="shared" si="9"/>
        <v>2000000</v>
      </c>
      <c r="I25" s="38"/>
      <c r="K25" s="7">
        <v>1000000</v>
      </c>
      <c r="L25" s="6">
        <f t="shared" si="0"/>
        <v>1000000</v>
      </c>
      <c r="M25" s="64">
        <v>0.1</v>
      </c>
      <c r="N25" s="6">
        <f>K25/(1-M25)</f>
        <v>1111111.111111111</v>
      </c>
      <c r="O25" s="6">
        <f t="shared" si="3"/>
        <v>1111111.111111111</v>
      </c>
      <c r="P25" s="63">
        <f t="shared" si="4"/>
        <v>1222222.2222222222</v>
      </c>
    </row>
    <row r="26" spans="1:16" s="1" customFormat="1" x14ac:dyDescent="0.35">
      <c r="A26" s="50"/>
      <c r="B26" s="51"/>
      <c r="C26" s="40" t="s">
        <v>50</v>
      </c>
      <c r="D26" s="10" t="s">
        <v>2</v>
      </c>
      <c r="E26" s="10" t="s">
        <v>10</v>
      </c>
      <c r="F26" s="37">
        <v>1</v>
      </c>
      <c r="G26" s="38">
        <v>9600000</v>
      </c>
      <c r="H26" s="38">
        <f t="shared" si="9"/>
        <v>9600000</v>
      </c>
      <c r="I26" s="38"/>
      <c r="K26" s="7">
        <f>1000000*11.16+2000000</f>
        <v>13160000</v>
      </c>
      <c r="L26" s="6">
        <f t="shared" si="0"/>
        <v>13160000</v>
      </c>
      <c r="M26" s="64">
        <v>0.1</v>
      </c>
      <c r="N26" s="6">
        <f t="shared" si="2"/>
        <v>14622222.222222222</v>
      </c>
      <c r="O26" s="6">
        <f t="shared" si="3"/>
        <v>14622222.222222222</v>
      </c>
      <c r="P26" s="63">
        <f t="shared" si="4"/>
        <v>16084444.444444446</v>
      </c>
    </row>
    <row r="27" spans="1:16" s="1" customFormat="1" ht="25.75" customHeight="1" x14ac:dyDescent="0.35">
      <c r="A27" s="51" t="s">
        <v>51</v>
      </c>
      <c r="B27" s="51"/>
      <c r="C27" s="51"/>
      <c r="D27" s="51"/>
      <c r="E27" s="51"/>
      <c r="F27" s="43"/>
      <c r="G27" s="43"/>
      <c r="H27" s="44">
        <f>SUM(H2:H26)</f>
        <v>187956000</v>
      </c>
      <c r="I27" s="39"/>
      <c r="K27" s="9" t="s">
        <v>71</v>
      </c>
      <c r="L27" s="57">
        <f>SUM(L2:L26)</f>
        <v>142356447.27272725</v>
      </c>
      <c r="M27" s="57"/>
      <c r="N27" s="57"/>
      <c r="O27" s="57">
        <f>SUM(O2:O26)</f>
        <v>165350235.05644685</v>
      </c>
      <c r="P27" s="57"/>
    </row>
    <row r="28" spans="1:16" ht="27.65" customHeight="1" x14ac:dyDescent="0.5">
      <c r="K28" s="9" t="s">
        <v>72</v>
      </c>
      <c r="L28" s="57">
        <f>L27*1.1</f>
        <v>156592092</v>
      </c>
      <c r="M28" s="57"/>
      <c r="N28" s="57"/>
      <c r="O28" s="57">
        <f>O27*1.1</f>
        <v>181885258.56209156</v>
      </c>
      <c r="P28" s="57"/>
    </row>
  </sheetData>
  <mergeCells count="11">
    <mergeCell ref="A27:E27"/>
    <mergeCell ref="A22:A24"/>
    <mergeCell ref="B22:B24"/>
    <mergeCell ref="A9:A15"/>
    <mergeCell ref="B9:B15"/>
    <mergeCell ref="A16:A20"/>
    <mergeCell ref="B16:B20"/>
    <mergeCell ref="A25:A26"/>
    <mergeCell ref="B25:B26"/>
    <mergeCell ref="A4:A8"/>
    <mergeCell ref="B4:B8"/>
  </mergeCells>
  <phoneticPr fontId="1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06EE-E77F-4D06-B4BF-7E83E9C54D86}">
  <dimension ref="A1:Q28"/>
  <sheetViews>
    <sheetView topLeftCell="A4" zoomScale="81" workbookViewId="0">
      <selection activeCell="G27" sqref="G27"/>
    </sheetView>
  </sheetViews>
  <sheetFormatPr defaultColWidth="15.7265625" defaultRowHeight="21" x14ac:dyDescent="0.5"/>
  <cols>
    <col min="1" max="1" width="4.7265625" style="2" bestFit="1" customWidth="1"/>
    <col min="2" max="2" width="16.36328125" style="3" customWidth="1"/>
    <col min="3" max="3" width="49.81640625" style="2" customWidth="1"/>
    <col min="4" max="4" width="13.26953125" style="4" customWidth="1"/>
    <col min="5" max="5" width="11.1796875" style="4" customWidth="1"/>
    <col min="6" max="8" width="16.453125" style="4" customWidth="1"/>
    <col min="9" max="9" width="12.81640625" style="5" customWidth="1"/>
    <col min="10" max="10" width="15.7265625" style="2"/>
    <col min="11" max="11" width="20.1796875" style="5" customWidth="1"/>
    <col min="12" max="12" width="15.6328125" style="5" bestFit="1" customWidth="1"/>
    <col min="13" max="13" width="15.26953125" style="5" customWidth="1"/>
    <col min="14" max="14" width="18.54296875" style="5" customWidth="1"/>
    <col min="15" max="15" width="15.90625" style="5" bestFit="1" customWidth="1"/>
    <col min="16" max="16" width="23.26953125" style="2" customWidth="1"/>
    <col min="17" max="16384" width="15.7265625" style="2"/>
  </cols>
  <sheetData>
    <row r="1" spans="1:17" s="1" customFormat="1" ht="37.25" customHeight="1" x14ac:dyDescent="0.35">
      <c r="A1" s="61" t="s">
        <v>64</v>
      </c>
      <c r="B1" s="62" t="s">
        <v>63</v>
      </c>
      <c r="C1" s="62" t="s">
        <v>70</v>
      </c>
      <c r="D1" s="61" t="s">
        <v>62</v>
      </c>
      <c r="E1" s="61" t="s">
        <v>61</v>
      </c>
      <c r="F1" s="35" t="s">
        <v>60</v>
      </c>
      <c r="G1" s="59" t="s">
        <v>69</v>
      </c>
      <c r="H1" s="35" t="s">
        <v>58</v>
      </c>
      <c r="I1" s="60" t="s">
        <v>59</v>
      </c>
      <c r="K1" s="53" t="s">
        <v>54</v>
      </c>
      <c r="L1" s="53" t="s">
        <v>55</v>
      </c>
      <c r="M1" s="53" t="s">
        <v>65</v>
      </c>
      <c r="N1" s="53" t="s">
        <v>56</v>
      </c>
      <c r="O1" s="53" t="s">
        <v>57</v>
      </c>
      <c r="P1" s="65" t="s">
        <v>73</v>
      </c>
      <c r="Q1" s="8"/>
    </row>
    <row r="2" spans="1:17" s="1" customFormat="1" ht="91" customHeight="1" x14ac:dyDescent="0.35">
      <c r="A2" s="10">
        <v>1</v>
      </c>
      <c r="B2" s="10" t="s">
        <v>11</v>
      </c>
      <c r="C2" s="36" t="s">
        <v>53</v>
      </c>
      <c r="D2" s="45" t="s">
        <v>52</v>
      </c>
      <c r="E2" s="10" t="s">
        <v>15</v>
      </c>
      <c r="F2" s="37">
        <v>27</v>
      </c>
      <c r="G2" s="38">
        <v>2100000</v>
      </c>
      <c r="H2" s="38">
        <f>F2*G2</f>
        <v>56700000</v>
      </c>
      <c r="I2" s="38" t="s">
        <v>19</v>
      </c>
      <c r="J2" s="1">
        <f>27*620</f>
        <v>16740</v>
      </c>
      <c r="K2" s="54">
        <f>54*25500*(1+2%)</f>
        <v>1404540</v>
      </c>
      <c r="L2" s="6">
        <f t="shared" ref="L2:L26" si="0">F2*K2</f>
        <v>37922580</v>
      </c>
      <c r="M2" s="64">
        <v>0.15</v>
      </c>
      <c r="N2" s="6">
        <f>K2/(1-M2)</f>
        <v>1652400</v>
      </c>
      <c r="O2" s="6">
        <f>N2*F2</f>
        <v>44614800</v>
      </c>
      <c r="P2" s="63">
        <f>N2*1.1</f>
        <v>1817640.0000000002</v>
      </c>
    </row>
    <row r="3" spans="1:17" s="1" customFormat="1" ht="83" customHeight="1" x14ac:dyDescent="0.35">
      <c r="A3" s="10">
        <v>2</v>
      </c>
      <c r="B3" s="10" t="s">
        <v>23</v>
      </c>
      <c r="C3" s="36" t="s">
        <v>77</v>
      </c>
      <c r="D3" s="10" t="s">
        <v>34</v>
      </c>
      <c r="E3" s="37" t="s">
        <v>10</v>
      </c>
      <c r="F3" s="37">
        <v>1</v>
      </c>
      <c r="G3" s="38">
        <v>56500000</v>
      </c>
      <c r="H3" s="38">
        <f t="shared" ref="H3:H8" si="1">F3*G3</f>
        <v>56500000</v>
      </c>
      <c r="I3" s="38" t="s">
        <v>20</v>
      </c>
      <c r="K3" s="13">
        <f>45400000/1.1</f>
        <v>41272727.272727266</v>
      </c>
      <c r="L3" s="6">
        <f t="shared" si="0"/>
        <v>41272727.272727266</v>
      </c>
      <c r="M3" s="64">
        <v>0.15</v>
      </c>
      <c r="N3" s="6">
        <f t="shared" ref="N3:N26" si="2">K3/(1-M3)</f>
        <v>48556149.732620314</v>
      </c>
      <c r="O3" s="6">
        <f t="shared" ref="O3:O26" si="3">N3*F3</f>
        <v>48556149.732620314</v>
      </c>
      <c r="P3" s="63">
        <f t="shared" ref="P3:P26" si="4">N3*1.1</f>
        <v>53411764.705882348</v>
      </c>
    </row>
    <row r="4" spans="1:17" s="1" customFormat="1" ht="71.400000000000006" customHeight="1" x14ac:dyDescent="0.35">
      <c r="A4" s="50">
        <v>3</v>
      </c>
      <c r="B4" s="50" t="s">
        <v>12</v>
      </c>
      <c r="C4" s="36" t="s">
        <v>84</v>
      </c>
      <c r="D4" s="10" t="s">
        <v>85</v>
      </c>
      <c r="E4" s="37" t="s">
        <v>10</v>
      </c>
      <c r="F4" s="37">
        <v>3</v>
      </c>
      <c r="G4" s="38">
        <v>25000000</v>
      </c>
      <c r="H4" s="38">
        <f t="shared" si="1"/>
        <v>75000000</v>
      </c>
      <c r="I4" s="38" t="s">
        <v>20</v>
      </c>
      <c r="K4" s="7">
        <f>20324000/1.1</f>
        <v>18476363.636363637</v>
      </c>
      <c r="L4" s="6">
        <f t="shared" si="0"/>
        <v>55429090.909090906</v>
      </c>
      <c r="M4" s="64">
        <v>0.15</v>
      </c>
      <c r="N4" s="6">
        <f t="shared" si="2"/>
        <v>21736898.395721927</v>
      </c>
      <c r="O4" s="6">
        <f t="shared" si="3"/>
        <v>65210695.187165782</v>
      </c>
      <c r="P4" s="63">
        <f t="shared" si="4"/>
        <v>23910588.235294122</v>
      </c>
    </row>
    <row r="5" spans="1:17" s="1" customFormat="1" ht="26.4" customHeight="1" x14ac:dyDescent="0.35">
      <c r="A5" s="50"/>
      <c r="B5" s="50"/>
      <c r="C5" s="36" t="s">
        <v>86</v>
      </c>
      <c r="D5" s="10" t="s">
        <v>85</v>
      </c>
      <c r="E5" s="37" t="s">
        <v>10</v>
      </c>
      <c r="F5" s="37">
        <v>1</v>
      </c>
      <c r="G5" s="38">
        <v>19850000</v>
      </c>
      <c r="H5" s="38">
        <f t="shared" si="1"/>
        <v>19850000</v>
      </c>
      <c r="I5" s="38" t="s">
        <v>20</v>
      </c>
      <c r="K5" s="7">
        <f>16345000/1.1</f>
        <v>14859090.909090908</v>
      </c>
      <c r="L5" s="6">
        <f t="shared" si="0"/>
        <v>14859090.909090908</v>
      </c>
      <c r="M5" s="64">
        <v>0.1</v>
      </c>
      <c r="N5" s="6">
        <f t="shared" si="2"/>
        <v>16510101.010101009</v>
      </c>
      <c r="O5" s="6">
        <f t="shared" si="3"/>
        <v>16510101.010101009</v>
      </c>
      <c r="P5" s="63">
        <f t="shared" si="4"/>
        <v>18161111.111111112</v>
      </c>
    </row>
    <row r="6" spans="1:17" s="1" customFormat="1" ht="26.4" customHeight="1" x14ac:dyDescent="0.35">
      <c r="A6" s="50"/>
      <c r="B6" s="50"/>
      <c r="C6" s="36" t="s">
        <v>87</v>
      </c>
      <c r="D6" s="10" t="s">
        <v>85</v>
      </c>
      <c r="E6" s="37" t="s">
        <v>10</v>
      </c>
      <c r="F6" s="37">
        <v>1</v>
      </c>
      <c r="G6" s="38">
        <v>1950000</v>
      </c>
      <c r="H6" s="38">
        <f t="shared" si="1"/>
        <v>1950000</v>
      </c>
      <c r="I6" s="38" t="s">
        <v>20</v>
      </c>
      <c r="K6" s="7">
        <f>1736000/1.1</f>
        <v>1578181.8181818181</v>
      </c>
      <c r="L6" s="6">
        <f t="shared" ref="L6:L8" si="5">F6*K6</f>
        <v>1578181.8181818181</v>
      </c>
      <c r="M6" s="64">
        <v>0.1</v>
      </c>
      <c r="N6" s="6">
        <f t="shared" ref="N6:N8" si="6">K6/(1-M6)</f>
        <v>1753535.3535353534</v>
      </c>
      <c r="O6" s="6">
        <f t="shared" ref="O6:O8" si="7">N6*F6</f>
        <v>1753535.3535353534</v>
      </c>
      <c r="P6" s="63">
        <f t="shared" ref="P6:P8" si="8">N6*1.1</f>
        <v>1928888.888888889</v>
      </c>
    </row>
    <row r="7" spans="1:17" s="1" customFormat="1" ht="26.4" customHeight="1" x14ac:dyDescent="0.35">
      <c r="A7" s="50"/>
      <c r="B7" s="50"/>
      <c r="C7" s="39" t="s">
        <v>88</v>
      </c>
      <c r="D7" s="10" t="s">
        <v>2</v>
      </c>
      <c r="E7" s="10" t="s">
        <v>10</v>
      </c>
      <c r="F7" s="37">
        <v>1</v>
      </c>
      <c r="G7" s="38">
        <v>800000</v>
      </c>
      <c r="H7" s="38">
        <f t="shared" si="1"/>
        <v>800000</v>
      </c>
      <c r="I7" s="38" t="s">
        <v>20</v>
      </c>
      <c r="K7" s="7">
        <v>0</v>
      </c>
      <c r="L7" s="6">
        <f t="shared" si="5"/>
        <v>0</v>
      </c>
      <c r="M7" s="64">
        <v>0.1</v>
      </c>
      <c r="N7" s="6">
        <f t="shared" si="6"/>
        <v>0</v>
      </c>
      <c r="O7" s="6">
        <f t="shared" si="7"/>
        <v>0</v>
      </c>
      <c r="P7" s="63">
        <f t="shared" si="8"/>
        <v>0</v>
      </c>
    </row>
    <row r="8" spans="1:17" s="1" customFormat="1" ht="26.4" customHeight="1" x14ac:dyDescent="0.35">
      <c r="A8" s="50"/>
      <c r="B8" s="50"/>
      <c r="C8" s="39" t="s">
        <v>38</v>
      </c>
      <c r="D8" s="10" t="s">
        <v>5</v>
      </c>
      <c r="E8" s="10" t="s">
        <v>8</v>
      </c>
      <c r="F8" s="37">
        <v>1</v>
      </c>
      <c r="G8" s="38">
        <v>100000</v>
      </c>
      <c r="H8" s="38">
        <f t="shared" si="1"/>
        <v>100000</v>
      </c>
      <c r="I8" s="38" t="s">
        <v>20</v>
      </c>
      <c r="K8" s="7">
        <v>0</v>
      </c>
      <c r="L8" s="6">
        <f t="shared" si="5"/>
        <v>0</v>
      </c>
      <c r="M8" s="64">
        <v>0.1</v>
      </c>
      <c r="N8" s="6">
        <f t="shared" si="6"/>
        <v>0</v>
      </c>
      <c r="O8" s="6">
        <f t="shared" si="7"/>
        <v>0</v>
      </c>
      <c r="P8" s="63">
        <f t="shared" si="8"/>
        <v>0</v>
      </c>
    </row>
    <row r="9" spans="1:17" s="1" customFormat="1" x14ac:dyDescent="0.35">
      <c r="A9" s="50">
        <v>4</v>
      </c>
      <c r="B9" s="50" t="s">
        <v>3</v>
      </c>
      <c r="C9" s="40" t="s">
        <v>0</v>
      </c>
      <c r="D9" s="10" t="s">
        <v>5</v>
      </c>
      <c r="E9" s="10" t="s">
        <v>8</v>
      </c>
      <c r="F9" s="37">
        <v>24</v>
      </c>
      <c r="G9" s="38">
        <v>11000</v>
      </c>
      <c r="H9" s="38">
        <f t="shared" ref="H5:H28" si="9">F9*G9</f>
        <v>264000</v>
      </c>
      <c r="I9" s="38" t="s">
        <v>20</v>
      </c>
      <c r="J9" s="41" t="s">
        <v>81</v>
      </c>
      <c r="K9" s="7">
        <v>8800</v>
      </c>
      <c r="L9" s="6">
        <f t="shared" si="0"/>
        <v>211200</v>
      </c>
      <c r="M9" s="64">
        <v>0.1</v>
      </c>
      <c r="N9" s="6">
        <f t="shared" si="2"/>
        <v>9777.7777777777774</v>
      </c>
      <c r="O9" s="6">
        <f t="shared" si="3"/>
        <v>234666.66666666666</v>
      </c>
      <c r="P9" s="63">
        <f t="shared" si="4"/>
        <v>10755.555555555557</v>
      </c>
    </row>
    <row r="10" spans="1:17" s="1" customFormat="1" x14ac:dyDescent="0.35">
      <c r="A10" s="50"/>
      <c r="B10" s="50"/>
      <c r="C10" s="40" t="s">
        <v>13</v>
      </c>
      <c r="D10" s="10" t="s">
        <v>5</v>
      </c>
      <c r="E10" s="10" t="s">
        <v>8</v>
      </c>
      <c r="F10" s="37">
        <v>48</v>
      </c>
      <c r="G10" s="38">
        <v>11000</v>
      </c>
      <c r="H10" s="38">
        <f t="shared" si="9"/>
        <v>528000</v>
      </c>
      <c r="I10" s="38" t="s">
        <v>20</v>
      </c>
      <c r="K10" s="7">
        <v>8800</v>
      </c>
      <c r="L10" s="6">
        <f t="shared" si="0"/>
        <v>422400</v>
      </c>
      <c r="M10" s="64">
        <v>0.1</v>
      </c>
      <c r="N10" s="6">
        <f t="shared" si="2"/>
        <v>9777.7777777777774</v>
      </c>
      <c r="O10" s="6">
        <f t="shared" si="3"/>
        <v>469333.33333333331</v>
      </c>
      <c r="P10" s="63">
        <f t="shared" si="4"/>
        <v>10755.555555555557</v>
      </c>
    </row>
    <row r="11" spans="1:17" s="1" customFormat="1" x14ac:dyDescent="0.35">
      <c r="A11" s="50"/>
      <c r="B11" s="50"/>
      <c r="C11" s="40" t="s">
        <v>40</v>
      </c>
      <c r="D11" s="10" t="s">
        <v>5</v>
      </c>
      <c r="E11" s="10" t="s">
        <v>8</v>
      </c>
      <c r="F11" s="37">
        <v>16</v>
      </c>
      <c r="G11" s="38">
        <v>360000</v>
      </c>
      <c r="H11" s="38">
        <f t="shared" si="9"/>
        <v>5760000</v>
      </c>
      <c r="I11" s="38" t="s">
        <v>20</v>
      </c>
      <c r="J11" s="1">
        <f>27*2*1.2/4.2</f>
        <v>15.428571428571427</v>
      </c>
      <c r="K11" s="7">
        <v>294000</v>
      </c>
      <c r="L11" s="6">
        <f t="shared" si="0"/>
        <v>4704000</v>
      </c>
      <c r="M11" s="64">
        <v>0.1</v>
      </c>
      <c r="N11" s="6">
        <f t="shared" si="2"/>
        <v>326666.66666666669</v>
      </c>
      <c r="O11" s="6">
        <f t="shared" si="3"/>
        <v>5226666.666666667</v>
      </c>
      <c r="P11" s="63">
        <f t="shared" si="4"/>
        <v>359333.33333333337</v>
      </c>
    </row>
    <row r="12" spans="1:17" s="1" customFormat="1" x14ac:dyDescent="0.35">
      <c r="A12" s="50"/>
      <c r="B12" s="50"/>
      <c r="C12" s="40" t="s">
        <v>25</v>
      </c>
      <c r="D12" s="10" t="s">
        <v>5</v>
      </c>
      <c r="E12" s="10" t="s">
        <v>8</v>
      </c>
      <c r="F12" s="37">
        <v>16</v>
      </c>
      <c r="G12" s="38">
        <v>20000</v>
      </c>
      <c r="H12" s="38">
        <f t="shared" si="9"/>
        <v>320000</v>
      </c>
      <c r="I12" s="38" t="s">
        <v>20</v>
      </c>
      <c r="K12" s="7">
        <v>12800</v>
      </c>
      <c r="L12" s="6">
        <f t="shared" si="0"/>
        <v>204800</v>
      </c>
      <c r="M12" s="64">
        <v>0.1</v>
      </c>
      <c r="N12" s="6">
        <f t="shared" si="2"/>
        <v>14222.222222222223</v>
      </c>
      <c r="O12" s="6">
        <f t="shared" si="3"/>
        <v>227555.55555555556</v>
      </c>
      <c r="P12" s="63">
        <f t="shared" si="4"/>
        <v>15644.444444444445</v>
      </c>
    </row>
    <row r="13" spans="1:17" s="1" customFormat="1" x14ac:dyDescent="0.35">
      <c r="A13" s="50"/>
      <c r="B13" s="50"/>
      <c r="C13" s="40" t="s">
        <v>26</v>
      </c>
      <c r="D13" s="10" t="s">
        <v>5</v>
      </c>
      <c r="E13" s="10" t="s">
        <v>8</v>
      </c>
      <c r="F13" s="37">
        <f>F11*6+4</f>
        <v>100</v>
      </c>
      <c r="G13" s="38">
        <v>20000</v>
      </c>
      <c r="H13" s="38">
        <f t="shared" si="9"/>
        <v>2000000</v>
      </c>
      <c r="I13" s="38" t="s">
        <v>20</v>
      </c>
      <c r="K13" s="7">
        <v>16000</v>
      </c>
      <c r="L13" s="6">
        <f t="shared" si="0"/>
        <v>1600000</v>
      </c>
      <c r="M13" s="64">
        <v>0.1</v>
      </c>
      <c r="N13" s="6">
        <f t="shared" si="2"/>
        <v>17777.777777777777</v>
      </c>
      <c r="O13" s="6">
        <f t="shared" si="3"/>
        <v>1777777.7777777778</v>
      </c>
      <c r="P13" s="63">
        <f t="shared" si="4"/>
        <v>19555.555555555558</v>
      </c>
    </row>
    <row r="14" spans="1:17" s="1" customFormat="1" x14ac:dyDescent="0.35">
      <c r="A14" s="50"/>
      <c r="B14" s="50"/>
      <c r="C14" s="40" t="s">
        <v>30</v>
      </c>
      <c r="D14" s="10" t="s">
        <v>5</v>
      </c>
      <c r="E14" s="10" t="s">
        <v>8</v>
      </c>
      <c r="F14" s="37">
        <v>8</v>
      </c>
      <c r="G14" s="38">
        <v>20000</v>
      </c>
      <c r="H14" s="38">
        <f t="shared" si="9"/>
        <v>160000</v>
      </c>
      <c r="I14" s="38" t="s">
        <v>20</v>
      </c>
      <c r="K14" s="7">
        <v>12600</v>
      </c>
      <c r="L14" s="6">
        <f t="shared" si="0"/>
        <v>100800</v>
      </c>
      <c r="M14" s="64">
        <v>0.1</v>
      </c>
      <c r="N14" s="6">
        <f t="shared" si="2"/>
        <v>14000</v>
      </c>
      <c r="O14" s="6">
        <f t="shared" si="3"/>
        <v>112000</v>
      </c>
      <c r="P14" s="63">
        <f t="shared" si="4"/>
        <v>15400.000000000002</v>
      </c>
    </row>
    <row r="15" spans="1:17" s="1" customFormat="1" x14ac:dyDescent="0.35">
      <c r="A15" s="50"/>
      <c r="B15" s="50"/>
      <c r="C15" s="40" t="s">
        <v>31</v>
      </c>
      <c r="D15" s="10" t="s">
        <v>5</v>
      </c>
      <c r="E15" s="10" t="s">
        <v>8</v>
      </c>
      <c r="F15" s="37">
        <f>F10</f>
        <v>48</v>
      </c>
      <c r="G15" s="38">
        <v>2000</v>
      </c>
      <c r="H15" s="38">
        <f t="shared" si="9"/>
        <v>96000</v>
      </c>
      <c r="I15" s="38" t="s">
        <v>20</v>
      </c>
      <c r="K15" s="7">
        <v>1500</v>
      </c>
      <c r="L15" s="6">
        <f t="shared" si="0"/>
        <v>72000</v>
      </c>
      <c r="M15" s="64">
        <v>0.1</v>
      </c>
      <c r="N15" s="6">
        <f t="shared" si="2"/>
        <v>1666.6666666666665</v>
      </c>
      <c r="O15" s="6">
        <f t="shared" si="3"/>
        <v>80000</v>
      </c>
      <c r="P15" s="63">
        <f t="shared" si="4"/>
        <v>1833.3333333333333</v>
      </c>
    </row>
    <row r="16" spans="1:17" s="1" customFormat="1" ht="33.65" customHeight="1" x14ac:dyDescent="0.35">
      <c r="A16" s="50">
        <v>5</v>
      </c>
      <c r="B16" s="50" t="s">
        <v>4</v>
      </c>
      <c r="C16" s="39" t="s">
        <v>27</v>
      </c>
      <c r="D16" s="10" t="s">
        <v>41</v>
      </c>
      <c r="E16" s="10" t="s">
        <v>17</v>
      </c>
      <c r="F16" s="37">
        <v>100</v>
      </c>
      <c r="G16" s="38">
        <v>18000</v>
      </c>
      <c r="H16" s="38">
        <f t="shared" si="9"/>
        <v>1800000</v>
      </c>
      <c r="I16" s="38" t="s">
        <v>20</v>
      </c>
      <c r="K16" s="7">
        <v>12000</v>
      </c>
      <c r="L16" s="6">
        <f t="shared" si="0"/>
        <v>1200000</v>
      </c>
      <c r="M16" s="64">
        <v>0.1</v>
      </c>
      <c r="N16" s="6">
        <f t="shared" si="2"/>
        <v>13333.333333333332</v>
      </c>
      <c r="O16" s="6">
        <f t="shared" si="3"/>
        <v>1333333.3333333333</v>
      </c>
      <c r="P16" s="63">
        <f t="shared" si="4"/>
        <v>14666.666666666666</v>
      </c>
    </row>
    <row r="17" spans="1:16" s="1" customFormat="1" ht="32.4" customHeight="1" x14ac:dyDescent="0.35">
      <c r="A17" s="50"/>
      <c r="B17" s="50"/>
      <c r="C17" s="39" t="s">
        <v>28</v>
      </c>
      <c r="D17" s="10" t="s">
        <v>41</v>
      </c>
      <c r="E17" s="10" t="s">
        <v>17</v>
      </c>
      <c r="F17" s="37">
        <v>100</v>
      </c>
      <c r="G17" s="38">
        <v>18000</v>
      </c>
      <c r="H17" s="38">
        <f t="shared" si="9"/>
        <v>1800000</v>
      </c>
      <c r="I17" s="38" t="s">
        <v>20</v>
      </c>
      <c r="K17" s="7">
        <v>12000</v>
      </c>
      <c r="L17" s="6">
        <f t="shared" si="0"/>
        <v>1200000</v>
      </c>
      <c r="M17" s="64">
        <v>0.1</v>
      </c>
      <c r="N17" s="6">
        <f t="shared" si="2"/>
        <v>13333.333333333332</v>
      </c>
      <c r="O17" s="6">
        <f t="shared" si="3"/>
        <v>1333333.3333333333</v>
      </c>
      <c r="P17" s="63">
        <f t="shared" si="4"/>
        <v>14666.666666666666</v>
      </c>
    </row>
    <row r="18" spans="1:16" s="1" customFormat="1" ht="43.5" x14ac:dyDescent="0.35">
      <c r="A18" s="50"/>
      <c r="B18" s="50"/>
      <c r="C18" s="39" t="s">
        <v>79</v>
      </c>
      <c r="D18" s="10" t="s">
        <v>80</v>
      </c>
      <c r="E18" s="10" t="s">
        <v>17</v>
      </c>
      <c r="F18" s="37">
        <v>20</v>
      </c>
      <c r="G18" s="38">
        <v>150000</v>
      </c>
      <c r="H18" s="38">
        <f t="shared" si="9"/>
        <v>3000000</v>
      </c>
      <c r="I18" s="38" t="s">
        <v>20</v>
      </c>
      <c r="K18" s="7">
        <f>135000/1.1+100000/20</f>
        <v>127727.27272727272</v>
      </c>
      <c r="L18" s="6">
        <f t="shared" si="0"/>
        <v>2554545.4545454546</v>
      </c>
      <c r="M18" s="64">
        <v>0.1</v>
      </c>
      <c r="N18" s="6">
        <f t="shared" si="2"/>
        <v>141919.19191919192</v>
      </c>
      <c r="O18" s="6">
        <f t="shared" si="3"/>
        <v>2838383.8383838385</v>
      </c>
      <c r="P18" s="63">
        <f t="shared" si="4"/>
        <v>156111.11111111112</v>
      </c>
    </row>
    <row r="19" spans="1:16" s="1" customFormat="1" ht="36" customHeight="1" x14ac:dyDescent="0.35">
      <c r="A19" s="50"/>
      <c r="B19" s="50"/>
      <c r="C19" s="39" t="s">
        <v>67</v>
      </c>
      <c r="D19" s="10" t="s">
        <v>5</v>
      </c>
      <c r="E19" s="10" t="s">
        <v>10</v>
      </c>
      <c r="F19" s="37">
        <v>1</v>
      </c>
      <c r="G19" s="38">
        <v>300000</v>
      </c>
      <c r="H19" s="38">
        <f t="shared" si="9"/>
        <v>300000</v>
      </c>
      <c r="I19" s="38" t="s">
        <v>20</v>
      </c>
      <c r="K19" s="7">
        <v>0</v>
      </c>
      <c r="L19" s="6">
        <f t="shared" si="0"/>
        <v>0</v>
      </c>
      <c r="M19" s="64">
        <v>0.1</v>
      </c>
      <c r="N19" s="6">
        <f t="shared" si="2"/>
        <v>0</v>
      </c>
      <c r="O19" s="6">
        <f t="shared" si="3"/>
        <v>0</v>
      </c>
      <c r="P19" s="63">
        <f t="shared" si="4"/>
        <v>0</v>
      </c>
    </row>
    <row r="20" spans="1:16" s="1" customFormat="1" ht="26" customHeight="1" x14ac:dyDescent="0.35">
      <c r="A20" s="50"/>
      <c r="B20" s="50"/>
      <c r="C20" s="39" t="s">
        <v>16</v>
      </c>
      <c r="D20" s="10" t="s">
        <v>41</v>
      </c>
      <c r="E20" s="10" t="s">
        <v>10</v>
      </c>
      <c r="F20" s="37">
        <v>12</v>
      </c>
      <c r="G20" s="38">
        <v>30000</v>
      </c>
      <c r="H20" s="38">
        <f t="shared" si="9"/>
        <v>360000</v>
      </c>
      <c r="I20" s="38" t="s">
        <v>20</v>
      </c>
      <c r="K20" s="7">
        <v>20000</v>
      </c>
      <c r="L20" s="6">
        <f t="shared" si="0"/>
        <v>240000</v>
      </c>
      <c r="M20" s="64">
        <v>0.1</v>
      </c>
      <c r="N20" s="6">
        <f t="shared" si="2"/>
        <v>22222.222222222223</v>
      </c>
      <c r="O20" s="6">
        <f t="shared" si="3"/>
        <v>266666.66666666669</v>
      </c>
      <c r="P20" s="63">
        <f t="shared" si="4"/>
        <v>24444.444444444445</v>
      </c>
    </row>
    <row r="21" spans="1:16" s="1" customFormat="1" ht="138" customHeight="1" x14ac:dyDescent="0.35">
      <c r="A21" s="10">
        <v>6</v>
      </c>
      <c r="B21" s="10" t="s">
        <v>18</v>
      </c>
      <c r="C21" s="39" t="s">
        <v>89</v>
      </c>
      <c r="D21" s="10" t="s">
        <v>2</v>
      </c>
      <c r="E21" s="10" t="s">
        <v>10</v>
      </c>
      <c r="F21" s="37">
        <v>1</v>
      </c>
      <c r="G21" s="38">
        <v>8500000</v>
      </c>
      <c r="H21" s="38">
        <f t="shared" si="9"/>
        <v>8500000</v>
      </c>
      <c r="I21" s="38" t="s">
        <v>46</v>
      </c>
      <c r="K21" s="7">
        <f>5380000/1.1+1500000</f>
        <v>6390909.0909090908</v>
      </c>
      <c r="L21" s="6">
        <f t="shared" si="0"/>
        <v>6390909.0909090908</v>
      </c>
      <c r="M21" s="64">
        <v>0.1</v>
      </c>
      <c r="N21" s="6">
        <f t="shared" si="2"/>
        <v>7101010.1010101009</v>
      </c>
      <c r="O21" s="6">
        <f t="shared" si="3"/>
        <v>7101010.1010101009</v>
      </c>
      <c r="P21" s="63">
        <f t="shared" si="4"/>
        <v>7811111.1111111119</v>
      </c>
    </row>
    <row r="22" spans="1:16" s="1" customFormat="1" x14ac:dyDescent="0.35">
      <c r="A22" s="50">
        <v>7</v>
      </c>
      <c r="B22" s="52" t="s">
        <v>6</v>
      </c>
      <c r="C22" s="39" t="s">
        <v>47</v>
      </c>
      <c r="D22" s="10" t="s">
        <v>48</v>
      </c>
      <c r="E22" s="10" t="s">
        <v>17</v>
      </c>
      <c r="F22" s="37">
        <v>60</v>
      </c>
      <c r="G22" s="38">
        <v>15000</v>
      </c>
      <c r="H22" s="38">
        <f t="shared" si="9"/>
        <v>900000</v>
      </c>
      <c r="I22" s="38" t="s">
        <v>46</v>
      </c>
      <c r="K22" s="7">
        <v>12000</v>
      </c>
      <c r="L22" s="6">
        <f t="shared" si="0"/>
        <v>720000</v>
      </c>
      <c r="M22" s="64">
        <v>0.1</v>
      </c>
      <c r="N22" s="6">
        <f t="shared" si="2"/>
        <v>13333.333333333332</v>
      </c>
      <c r="O22" s="6">
        <f t="shared" si="3"/>
        <v>799999.99999999988</v>
      </c>
      <c r="P22" s="63">
        <f t="shared" si="4"/>
        <v>14666.666666666666</v>
      </c>
    </row>
    <row r="23" spans="1:16" s="1" customFormat="1" x14ac:dyDescent="0.35">
      <c r="A23" s="50"/>
      <c r="B23" s="52"/>
      <c r="C23" s="39" t="s">
        <v>49</v>
      </c>
      <c r="D23" s="10" t="s">
        <v>5</v>
      </c>
      <c r="E23" s="10" t="s">
        <v>8</v>
      </c>
      <c r="F23" s="37">
        <v>2</v>
      </c>
      <c r="G23" s="38">
        <v>250000</v>
      </c>
      <c r="H23" s="38">
        <f t="shared" si="9"/>
        <v>500000</v>
      </c>
      <c r="I23" s="38" t="s">
        <v>46</v>
      </c>
      <c r="K23" s="7">
        <v>200000</v>
      </c>
      <c r="L23" s="6">
        <f t="shared" si="0"/>
        <v>400000</v>
      </c>
      <c r="M23" s="64">
        <v>0.1</v>
      </c>
      <c r="N23" s="6">
        <f t="shared" si="2"/>
        <v>222222.22222222222</v>
      </c>
      <c r="O23" s="6">
        <f t="shared" si="3"/>
        <v>444444.44444444444</v>
      </c>
      <c r="P23" s="63">
        <f t="shared" si="4"/>
        <v>244444.44444444447</v>
      </c>
    </row>
    <row r="24" spans="1:16" s="1" customFormat="1" x14ac:dyDescent="0.35">
      <c r="A24" s="50"/>
      <c r="B24" s="52"/>
      <c r="C24" s="42" t="s">
        <v>24</v>
      </c>
      <c r="D24" s="10" t="s">
        <v>5</v>
      </c>
      <c r="E24" s="10" t="s">
        <v>17</v>
      </c>
      <c r="F24" s="37">
        <v>60</v>
      </c>
      <c r="G24" s="38">
        <v>15000</v>
      </c>
      <c r="H24" s="38">
        <f t="shared" si="9"/>
        <v>900000</v>
      </c>
      <c r="I24" s="38" t="s">
        <v>46</v>
      </c>
      <c r="K24" s="7">
        <v>12000</v>
      </c>
      <c r="L24" s="6">
        <f t="shared" si="0"/>
        <v>720000</v>
      </c>
      <c r="M24" s="64">
        <v>0.1</v>
      </c>
      <c r="N24" s="6">
        <f t="shared" si="2"/>
        <v>13333.333333333332</v>
      </c>
      <c r="O24" s="6">
        <f t="shared" si="3"/>
        <v>799999.99999999988</v>
      </c>
      <c r="P24" s="63">
        <f t="shared" si="4"/>
        <v>14666.666666666666</v>
      </c>
    </row>
    <row r="25" spans="1:16" s="1" customFormat="1" ht="29" x14ac:dyDescent="0.35">
      <c r="A25" s="50">
        <v>8</v>
      </c>
      <c r="B25" s="50" t="s">
        <v>7</v>
      </c>
      <c r="C25" s="42" t="s">
        <v>29</v>
      </c>
      <c r="D25" s="10" t="s">
        <v>2</v>
      </c>
      <c r="E25" s="10" t="s">
        <v>10</v>
      </c>
      <c r="F25" s="37">
        <v>1</v>
      </c>
      <c r="G25" s="38">
        <v>3000000</v>
      </c>
      <c r="H25" s="38">
        <f t="shared" si="9"/>
        <v>3000000</v>
      </c>
      <c r="I25" s="38"/>
      <c r="K25" s="7">
        <v>2000000</v>
      </c>
      <c r="L25" s="6">
        <f t="shared" si="0"/>
        <v>2000000</v>
      </c>
      <c r="M25" s="64">
        <v>0.1</v>
      </c>
      <c r="N25" s="6">
        <f>K25/(1-M25)</f>
        <v>2222222.222222222</v>
      </c>
      <c r="O25" s="6">
        <f t="shared" si="3"/>
        <v>2222222.222222222</v>
      </c>
      <c r="P25" s="63">
        <f t="shared" si="4"/>
        <v>2444444.4444444445</v>
      </c>
    </row>
    <row r="26" spans="1:16" s="1" customFormat="1" x14ac:dyDescent="0.35">
      <c r="A26" s="50"/>
      <c r="B26" s="51"/>
      <c r="C26" s="40" t="s">
        <v>50</v>
      </c>
      <c r="D26" s="10" t="s">
        <v>2</v>
      </c>
      <c r="E26" s="10" t="s">
        <v>10</v>
      </c>
      <c r="F26" s="37">
        <v>1</v>
      </c>
      <c r="G26" s="38">
        <v>14900000</v>
      </c>
      <c r="H26" s="38">
        <f t="shared" si="9"/>
        <v>14900000</v>
      </c>
      <c r="I26" s="38"/>
      <c r="K26" s="7">
        <f>1000000*16.74+2000000</f>
        <v>18740000</v>
      </c>
      <c r="L26" s="6">
        <f t="shared" si="0"/>
        <v>18740000</v>
      </c>
      <c r="M26" s="64">
        <v>0.1</v>
      </c>
      <c r="N26" s="6">
        <f t="shared" si="2"/>
        <v>20822222.22222222</v>
      </c>
      <c r="O26" s="6">
        <f t="shared" si="3"/>
        <v>20822222.22222222</v>
      </c>
      <c r="P26" s="63">
        <f t="shared" si="4"/>
        <v>22904444.444444444</v>
      </c>
    </row>
    <row r="27" spans="1:16" s="1" customFormat="1" ht="25.75" customHeight="1" x14ac:dyDescent="0.35">
      <c r="A27" s="51" t="s">
        <v>51</v>
      </c>
      <c r="B27" s="51"/>
      <c r="C27" s="51"/>
      <c r="D27" s="51"/>
      <c r="E27" s="51"/>
      <c r="F27" s="43"/>
      <c r="G27" s="43"/>
      <c r="H27" s="44">
        <f>SUM(H2:H26)</f>
        <v>255988000</v>
      </c>
      <c r="I27" s="39"/>
      <c r="K27" s="9" t="s">
        <v>71</v>
      </c>
      <c r="L27" s="57">
        <f>SUM(L2:L26)</f>
        <v>192542325.45454547</v>
      </c>
      <c r="M27" s="57"/>
      <c r="N27" s="57"/>
      <c r="O27" s="57">
        <f>SUM(O2:O26)</f>
        <v>222734897.44503865</v>
      </c>
      <c r="P27" s="57"/>
    </row>
    <row r="28" spans="1:16" ht="27.65" customHeight="1" x14ac:dyDescent="0.5">
      <c r="K28" s="9" t="s">
        <v>72</v>
      </c>
      <c r="L28" s="57">
        <f>L27*1.1</f>
        <v>211796558.00000003</v>
      </c>
      <c r="M28" s="57"/>
      <c r="N28" s="57"/>
      <c r="O28" s="57">
        <f>O27*1.1</f>
        <v>245008387.18954253</v>
      </c>
      <c r="P28" s="57"/>
    </row>
  </sheetData>
  <mergeCells count="11">
    <mergeCell ref="A22:A24"/>
    <mergeCell ref="B22:B24"/>
    <mergeCell ref="A25:A26"/>
    <mergeCell ref="B25:B26"/>
    <mergeCell ref="A27:E27"/>
    <mergeCell ref="A4:A8"/>
    <mergeCell ref="B4:B8"/>
    <mergeCell ref="A9:A15"/>
    <mergeCell ref="B9:B15"/>
    <mergeCell ref="A16:A20"/>
    <mergeCell ref="B16:B20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2</vt:i4>
      </vt:variant>
    </vt:vector>
  </HeadingPairs>
  <TitlesOfParts>
    <vt:vector size="18" baseType="lpstr">
      <vt:lpstr>Total</vt:lpstr>
      <vt:lpstr>OG1P_5.58kW</vt:lpstr>
      <vt:lpstr>OG1P_8.68kW</vt:lpstr>
      <vt:lpstr>OG1P_11.16kW</vt:lpstr>
      <vt:lpstr>OG3P_8.68kW</vt:lpstr>
      <vt:lpstr>OG3P_11.16kW</vt:lpstr>
      <vt:lpstr>OG3P_14.88kW</vt:lpstr>
      <vt:lpstr>OG3P_16.74kW</vt:lpstr>
      <vt:lpstr>HY1P_5.58kWBAT5.12LV</vt:lpstr>
      <vt:lpstr>HY1P_8.68kWBAT5.12LV</vt:lpstr>
      <vt:lpstr>HY1P_11.16kWBAT5.12LV</vt:lpstr>
      <vt:lpstr>HY1P_14.88kWBAT14.3LV</vt:lpstr>
      <vt:lpstr>HY3P_11.16kWBAT5.12LV</vt:lpstr>
      <vt:lpstr>HY3P_16.74kWBAT14.3LV</vt:lpstr>
      <vt:lpstr>HY3P_11.16kWBAT10HV</vt:lpstr>
      <vt:lpstr>HY3P_16.74kWBAT15HV</vt:lpstr>
      <vt:lpstr>HY1P_5.58kWBAT5.12LV!Print_Area</vt:lpstr>
      <vt:lpstr>Total!Print_Area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Admin</cp:lastModifiedBy>
  <cp:lastPrinted>2023-08-18T05:46:52Z</cp:lastPrinted>
  <dcterms:created xsi:type="dcterms:W3CDTF">2020-07-10T06:56:17Z</dcterms:created>
  <dcterms:modified xsi:type="dcterms:W3CDTF">2024-12-13T11:59:33Z</dcterms:modified>
</cp:coreProperties>
</file>